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ario\Documents\"/>
    </mc:Choice>
  </mc:AlternateContent>
  <xr:revisionPtr revIDLastSave="0" documentId="13_ncr:1_{84012C30-E7C9-45E3-B3BA-81051A778CD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eças" sheetId="1" r:id="rId1"/>
    <sheet name="Localidades" sheetId="2" r:id="rId2"/>
  </sheets>
  <definedNames>
    <definedName name="_xlnm._FilterDatabase" localSheetId="1" hidden="1">Localidades!$C$3:$C$16</definedName>
    <definedName name="_xlnm._FilterDatabase" localSheetId="0" hidden="1">Peças!$L$2:$S$4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1" l="1"/>
  <c r="M15" i="1"/>
  <c r="Q5" i="1" s="1"/>
  <c r="G10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F68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3" i="2"/>
  <c r="A3" i="1"/>
  <c r="F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R14" i="1"/>
  <c r="R16" i="1"/>
  <c r="R15" i="1"/>
  <c r="F135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Q11" i="1" l="1"/>
  <c r="R11" i="1" s="1"/>
  <c r="Q6" i="1"/>
  <c r="R6" i="1" s="1"/>
  <c r="Q10" i="1"/>
  <c r="R10" i="1" s="1"/>
  <c r="Q9" i="1"/>
  <c r="R9" i="1" s="1"/>
  <c r="Q8" i="1"/>
  <c r="R8" i="1" s="1"/>
  <c r="Q7" i="1"/>
  <c r="R7" i="1" s="1"/>
  <c r="P6" i="1"/>
  <c r="P7" i="1"/>
  <c r="P8" i="1"/>
  <c r="P9" i="1"/>
  <c r="P10" i="1"/>
  <c r="P11" i="1"/>
  <c r="O6" i="1"/>
  <c r="O7" i="1"/>
  <c r="O8" i="1"/>
  <c r="O9" i="1"/>
  <c r="O10" i="1"/>
  <c r="O11" i="1"/>
  <c r="N6" i="1"/>
  <c r="N7" i="1"/>
  <c r="N8" i="1"/>
  <c r="N9" i="1"/>
  <c r="N10" i="1"/>
  <c r="N11" i="1"/>
  <c r="M6" i="1"/>
  <c r="M7" i="1"/>
  <c r="M8" i="1"/>
  <c r="M9" i="1"/>
  <c r="M10" i="1"/>
  <c r="M11" i="1"/>
  <c r="P5" i="1"/>
  <c r="O5" i="1"/>
  <c r="N5" i="1"/>
  <c r="M5" i="1"/>
  <c r="L5" i="1"/>
  <c r="L10" i="1"/>
  <c r="L11" i="1"/>
  <c r="L6" i="1"/>
  <c r="L7" i="1"/>
  <c r="L8" i="1"/>
  <c r="L9" i="1"/>
</calcChain>
</file>

<file path=xl/sharedStrings.xml><?xml version="1.0" encoding="utf-8"?>
<sst xmlns="http://schemas.openxmlformats.org/spreadsheetml/2006/main" count="631" uniqueCount="295">
  <si>
    <t>Departamento de Peças de Hardware</t>
  </si>
  <si>
    <t>Contagem de produtos por tipagem.</t>
  </si>
  <si>
    <t>Código do produto</t>
  </si>
  <si>
    <t>Tipo do Produto:</t>
  </si>
  <si>
    <t>Nome do produto:</t>
  </si>
  <si>
    <t>Valor unitário:</t>
  </si>
  <si>
    <t>Desconto do Produto:</t>
  </si>
  <si>
    <t>Parcelas</t>
  </si>
  <si>
    <t>Marca do produto:</t>
  </si>
  <si>
    <t>Link do produto:</t>
  </si>
  <si>
    <t>Componentes:</t>
  </si>
  <si>
    <t>Digite o produto que procura abaixo (seguindo a coluna componentes)</t>
  </si>
  <si>
    <t>Qntd. de Produtos:</t>
  </si>
  <si>
    <t>Cadeira</t>
  </si>
  <si>
    <t>CADEIRA GAMER TGT HERON</t>
  </si>
  <si>
    <t>TGT</t>
  </si>
  <si>
    <t>Link</t>
  </si>
  <si>
    <t>Qual produto você  está procurando?</t>
  </si>
  <si>
    <t>Gabinete</t>
  </si>
  <si>
    <t>Valor em Peças:</t>
  </si>
  <si>
    <t>Cadeira Gamer KBM CG200</t>
  </si>
  <si>
    <t>KBM</t>
  </si>
  <si>
    <t>Cooler</t>
  </si>
  <si>
    <t>CÓDIGO AUX.</t>
  </si>
  <si>
    <t>Desconto do produto:</t>
  </si>
  <si>
    <t>Possibilidade de parcelamento:</t>
  </si>
  <si>
    <t>Marca:</t>
  </si>
  <si>
    <t xml:space="preserve">Média de Valores da Loja: </t>
  </si>
  <si>
    <t>Cadeira Gamer Mx5 Giratória Branco E Azul</t>
  </si>
  <si>
    <t>MyMax</t>
  </si>
  <si>
    <t>Fonte</t>
  </si>
  <si>
    <t>Cadeira Gamer Ninja Genin</t>
  </si>
  <si>
    <t>Ninja</t>
  </si>
  <si>
    <t>Cadeira Gamer Rocket</t>
  </si>
  <si>
    <t>SuperFrame</t>
  </si>
  <si>
    <t>HD</t>
  </si>
  <si>
    <t>Cadeira Gamer SuperFrame Godzilla, Reclinável, Preto e Branco</t>
  </si>
  <si>
    <t>Headset</t>
  </si>
  <si>
    <t>Cadeira Gamer Prizi Canvas - Preta</t>
  </si>
  <si>
    <t>Prizi</t>
  </si>
  <si>
    <t>Caixa de Som</t>
  </si>
  <si>
    <t>Caixa de som</t>
  </si>
  <si>
    <t>Caixa de Som Gamer Havit RGB</t>
  </si>
  <si>
    <t>Havit</t>
  </si>
  <si>
    <t>RAM</t>
  </si>
  <si>
    <t>Soundbar Gamer KBM! GAMING SB110</t>
  </si>
  <si>
    <t>Mesa</t>
  </si>
  <si>
    <t>CAIXA DE SOM REDRAGON ORPHEUS</t>
  </si>
  <si>
    <t>Redragon</t>
  </si>
  <si>
    <t>Mesa Digitalizadora</t>
  </si>
  <si>
    <t>Soundbar Gamer KBM! GAMING SB200</t>
  </si>
  <si>
    <t>Microfone</t>
  </si>
  <si>
    <t>Redragon GS510</t>
  </si>
  <si>
    <t>Mouse</t>
  </si>
  <si>
    <t>CAIXA DE SOM REDRAGON ANDANTE</t>
  </si>
  <si>
    <t>Mousepad</t>
  </si>
  <si>
    <t>C3Tech Speaker 2.0 SP-40BK</t>
  </si>
  <si>
    <t>C3Tech</t>
  </si>
  <si>
    <t xml:space="preserve">Placa de vídeo
</t>
  </si>
  <si>
    <t>KIT VENTOINHAS MANCER Z100 RGB</t>
  </si>
  <si>
    <t>Mancer</t>
  </si>
  <si>
    <t>Placa mãe</t>
  </si>
  <si>
    <t>Kit com 3 Ventoinhas Rise Mode X</t>
  </si>
  <si>
    <t>Rise</t>
  </si>
  <si>
    <t>Processador</t>
  </si>
  <si>
    <t>KIT VENTOINHA TGT MIRAGE</t>
  </si>
  <si>
    <t>Teclado</t>
  </si>
  <si>
    <t>COOLER PARA PROCESSADOR PICHAU SAGE V2 BLACK EDITION</t>
  </si>
  <si>
    <t>Pichau</t>
  </si>
  <si>
    <t>SSD</t>
  </si>
  <si>
    <t>Cooler Para Gabinete T-Dagger</t>
  </si>
  <si>
    <t>Dagger</t>
  </si>
  <si>
    <t>Web Cam</t>
  </si>
  <si>
    <t>Kit Cooler FAN Rise Mode RGB Aura</t>
  </si>
  <si>
    <t>Cooler Fan Rise Mode Laser</t>
  </si>
  <si>
    <t>FONTE MANCER THUNDER 600W 80 PLUS BRONZE</t>
  </si>
  <si>
    <t>FONTE MULTI 350W, ATX, GA350</t>
  </si>
  <si>
    <t>Multi</t>
  </si>
  <si>
    <t>FONTE AEROCOOL VX-500 500W</t>
  </si>
  <si>
    <t>Aerocool</t>
  </si>
  <si>
    <t>FONTE PCYES! 450W ELETRO V2 80PLUS</t>
  </si>
  <si>
    <t>PCYES</t>
  </si>
  <si>
    <t>FONTE PCYES ELECTRO 750W V2, 80PLUS BRONZE</t>
  </si>
  <si>
    <t>FONTE GIGABYTE P450B 450W 80PLUS BRONZE</t>
  </si>
  <si>
    <t>GIGABYTE</t>
  </si>
  <si>
    <t>Fonte BRX Rainbow RGB, 850W, 80 Plus Bronze</t>
  </si>
  <si>
    <t>BRX</t>
  </si>
  <si>
    <t>Gabinete Gamer C2-2901</t>
  </si>
  <si>
    <t>Amazon</t>
  </si>
  <si>
    <t>Gabinete Redragon Wideload Pro</t>
  </si>
  <si>
    <t>Gabinete Gamer Branco GB1791</t>
  </si>
  <si>
    <t>GABINETE GAMER PHANTOM NEOLOGIC NL-3401</t>
  </si>
  <si>
    <t>Phantom</t>
  </si>
  <si>
    <t>GABINETE MICRO ATX</t>
  </si>
  <si>
    <t>Gabinete Redragon GRAPPLE, Branco - GC-607WH</t>
  </si>
  <si>
    <t>GABINETE GAMER TGT LEGION, MID-TOWER</t>
  </si>
  <si>
    <t>Disco Rígido Externo U Hd 4tb</t>
  </si>
  <si>
    <t>Seagate</t>
  </si>
  <si>
    <t>HD Externo Toshiba 1TB</t>
  </si>
  <si>
    <t>Toshiba</t>
  </si>
  <si>
    <t>Hd Externo Gamer 500</t>
  </si>
  <si>
    <t>Infokit</t>
  </si>
  <si>
    <t>HD Seagate 2TB BarraCuda</t>
  </si>
  <si>
    <t>Hd 500gb Seagate Barracuda</t>
  </si>
  <si>
    <t>HD Interno, Barracuda Compute HDD 3.5, 4TB</t>
  </si>
  <si>
    <t>Hd Seagate 1tb Barracuda Pro</t>
  </si>
  <si>
    <t>Headset-Redragon-Sem-Fio-Zeus</t>
  </si>
  <si>
    <t>Headset Gamer-Redragon-Lamia</t>
  </si>
  <si>
    <t>Headset Gamer Redragon Zeus X</t>
  </si>
  <si>
    <t>Headset Gamer Razer Kraken X Lite</t>
  </si>
  <si>
    <t>Headset Gamer Mancer Twilight</t>
  </si>
  <si>
    <t>Headphone Fone de Ouvido Havit HV-H2002d</t>
  </si>
  <si>
    <t>HEADSET GAMER RAZER BLACKSHARK V2 X</t>
  </si>
  <si>
    <t>Razer</t>
  </si>
  <si>
    <t>Memória Ram</t>
  </si>
  <si>
    <t>Headset Gamer Fortrek Vickers</t>
  </si>
  <si>
    <t>Fortrek</t>
  </si>
  <si>
    <t>ADATA XPG SPECTRIX D35G Ram DDR4 RGB Memory 8GB 3200MHz</t>
  </si>
  <si>
    <t>XPG</t>
  </si>
  <si>
    <t>Kit de Memórias HyperX Fury (2 de 8GB) 3200mhz</t>
  </si>
  <si>
    <t>Fury</t>
  </si>
  <si>
    <t>MEMORIA TEAM GROUP T-FORCE VULCAN PICHAU, 8GB (1X8) 3200mhz</t>
  </si>
  <si>
    <t>Vulcan</t>
  </si>
  <si>
    <t>Memória RAM Kingston Fury Beast, RGB, 16GB, 3200MHz, DDR4,</t>
  </si>
  <si>
    <t>Memória DDR4 Kingston Fury Beast, 8GB, 3200Mhz,</t>
  </si>
  <si>
    <t>Memória Rise Mode Desk 16gb 3200mhz Ddr4</t>
  </si>
  <si>
    <t>Rise Mode</t>
  </si>
  <si>
    <t>MESA GAMER TGT BARRIER</t>
  </si>
  <si>
    <t>Mesa Gamer Escrivaninha 3 Gavetas DRX5000</t>
  </si>
  <si>
    <t>DRX</t>
  </si>
  <si>
    <t>Mesa Gamer Escrivaninha 1 Gaveta DRX 9000</t>
  </si>
  <si>
    <t>Mesa Gamer Escrivaninha Gelius Móveis</t>
  </si>
  <si>
    <t>Gelius</t>
  </si>
  <si>
    <t>Mesa Gamer KBM! GAMING DG150</t>
  </si>
  <si>
    <t>Mesa Gamer 2 Prateleiras 3875 Qmovi</t>
  </si>
  <si>
    <t>Qmovi</t>
  </si>
  <si>
    <t>Mesa Gamer Escrivaninha Desk DRX 5000</t>
  </si>
  <si>
    <t>Mesa digitalizadora</t>
  </si>
  <si>
    <t>MESA DIGITALIZADORA ZINNIA MOMENTUM MT100</t>
  </si>
  <si>
    <t>Zinnia</t>
  </si>
  <si>
    <t>Mesa Digitalizadora 5080 Lpl Tomate</t>
  </si>
  <si>
    <t>Lpl Tomate</t>
  </si>
  <si>
    <t>Mesa Digitalizadora Huion Kamvas 13 Plus</t>
  </si>
  <si>
    <t>Huion</t>
  </si>
  <si>
    <t>MESA DIGITALIZADORA ZINNIA MOMENTUM MT200,</t>
  </si>
  <si>
    <t>Wacom One CTL472 - Mesa Digitalizadora</t>
  </si>
  <si>
    <t>Wacom</t>
  </si>
  <si>
    <t>Mesa Digitalizadora XP-Pen Star</t>
  </si>
  <si>
    <t>XP-Pen</t>
  </si>
  <si>
    <t>Mesa Digitalizadora Gráfica Veikk</t>
  </si>
  <si>
    <t>Veikk</t>
  </si>
  <si>
    <t>Microfone Streamer Gamer Redragon GM100</t>
  </si>
  <si>
    <t>FIFINE Gaming PC USB Microphone</t>
  </si>
  <si>
    <t>FIFINE</t>
  </si>
  <si>
    <t>HyperX Microfone Gamer QuadCast</t>
  </si>
  <si>
    <t>HyperX</t>
  </si>
  <si>
    <t>Microfone Condensador Gamer Rgb Live Stream Podcast Usb</t>
  </si>
  <si>
    <t>Tomate</t>
  </si>
  <si>
    <t>Microfone De Mesa Gamer Profissional Pc Usb Led Rgb Jogos</t>
  </si>
  <si>
    <t>CELLWORDS</t>
  </si>
  <si>
    <t>MICROFONE HYPERX QUADCAST S, RGB, USB, BRANCO, 519P0AA</t>
  </si>
  <si>
    <t>HyperX Duocast - USB Microphone (Black) - RGB Lighting -4P5E2AA</t>
  </si>
  <si>
    <t>Mouse Gamer Redragon Storm RGB, 12400DPI, 7 Botões, Preto - M808-RGB</t>
  </si>
  <si>
    <t>Mouse Gamer Logitech G403 HERO com RGB</t>
  </si>
  <si>
    <t>Logitech</t>
  </si>
  <si>
    <t>Mouse Gamer Sem Fio Logitech G502</t>
  </si>
  <si>
    <t>DeLUX M800Ultra Mouse Gamer sem Fio, PAW3395</t>
  </si>
  <si>
    <t>DeLUX</t>
  </si>
  <si>
    <t>Mouse Gamer Logitech G203 LIGHTSYNC</t>
  </si>
  <si>
    <t>Mouse Gamer HyperX Pulsefire Haste RGB</t>
  </si>
  <si>
    <t>Razer Deathadder Essential Preto</t>
  </si>
  <si>
    <t>Mouse Pad Gamer Extra Grande Desk Pad Large Wide - Dragão Azul</t>
  </si>
  <si>
    <t>Genérico</t>
  </si>
  <si>
    <t>Mouse pad para jogos RGB, UtechSmart</t>
  </si>
  <si>
    <t>UtechSmart</t>
  </si>
  <si>
    <t>Mouse Pad Gamer Dragão Chinês Anime Extra Grande 90x40</t>
  </si>
  <si>
    <t>MOUSEPAD GAMER MARVO SCORPION G36 XL</t>
  </si>
  <si>
    <t>Marvo</t>
  </si>
  <si>
    <t>Mouse Pad Gamer Extra Grande Desk Pad Large Wide - Samurai</t>
  </si>
  <si>
    <t>Mouse Pad Gamer Speed Extra Grande, Abstract Premium</t>
  </si>
  <si>
    <t>Criarte</t>
  </si>
  <si>
    <t>Havit HV-MP830 - Mouse Pad Professional Gaming</t>
  </si>
  <si>
    <t>Placa de vídeo</t>
  </si>
  <si>
    <t>PLACA DE VIDEO GIGABYTE RADEON RX 7600</t>
  </si>
  <si>
    <t>Gigabyte</t>
  </si>
  <si>
    <t>Placa de Video NV RTX4060TI 8GB</t>
  </si>
  <si>
    <t>Galax</t>
  </si>
  <si>
    <t>PLACA DE VIDEO MSI GEFORCE GTX 1650 VENTUS</t>
  </si>
  <si>
    <t>Ventus</t>
  </si>
  <si>
    <t>Placa de Vídeo Gigabyte RX 6500 XT EAGLE AMD</t>
  </si>
  <si>
    <t>PLACA DE VIDEO GIGABYTE RADEON RX 6600 EAGLE</t>
  </si>
  <si>
    <t>Placa de Video RTX 3050 Stormix Palit NVIDIA GeForce</t>
  </si>
  <si>
    <t>Palit</t>
  </si>
  <si>
    <t>Placa de Video RTX 3060 NVIDIA GeForce</t>
  </si>
  <si>
    <t>Placa-mãe</t>
  </si>
  <si>
    <t>Placa Mãe Gigabyte B550M AORUS Elite</t>
  </si>
  <si>
    <t>Placa Mãe MSI A520M-A PRO</t>
  </si>
  <si>
    <t>MSI</t>
  </si>
  <si>
    <t>Placa Mae 1151-8th Asrock - H310CM-HG4</t>
  </si>
  <si>
    <t>AsRock</t>
  </si>
  <si>
    <t>Placa Mãe Asrock B550M Stell Legend AMD AM4</t>
  </si>
  <si>
    <t>MACHINIST LGA 2011-V3 ATX Motherboard, X99 Gaming Motherboard</t>
  </si>
  <si>
    <t>Machinist</t>
  </si>
  <si>
    <t>PLACA MAE MANCER A78 FX</t>
  </si>
  <si>
    <t>PLACA MAE ASROCK B450M STEEL LEGEND</t>
  </si>
  <si>
    <t>Processador AMD Ryzen 7 5700G</t>
  </si>
  <si>
    <t>AMD</t>
  </si>
  <si>
    <t>Processador Intel Core I5-12400F</t>
  </si>
  <si>
    <t>INTEL</t>
  </si>
  <si>
    <t>Processador AMD Ryzen 7 7800X3D</t>
  </si>
  <si>
    <t>Processador Intel Core i9 14900K</t>
  </si>
  <si>
    <t>AMD Ryzen 5 4500</t>
  </si>
  <si>
    <t>Processador AMD Ryzen 5 8500G</t>
  </si>
  <si>
    <t>PROCESSADOR AMD RYZEN 5 5500</t>
  </si>
  <si>
    <t>Movimentação interna de estado sólido para o portátil, disco rígido, SSD</t>
  </si>
  <si>
    <t>EVO</t>
  </si>
  <si>
    <t>XrayDisk M.2 SSD PCIe NVME 128GB</t>
  </si>
  <si>
    <t>XRayDisk</t>
  </si>
  <si>
    <t>Sata3 Ssd 128GB 240GB 120GB 256GB 480GB 512gb 1TB Hdd</t>
  </si>
  <si>
    <t>Xraydisk </t>
  </si>
  <si>
    <t>SanDisk-Cartão de unidade de disco de estado sólido, 64GB, meio fino</t>
  </si>
  <si>
    <t>SanDisk</t>
  </si>
  <si>
    <t>Unidade interna de estado sólido, disco rígido, SSD Sata3, 60GB</t>
  </si>
  <si>
    <t>Xraydisk</t>
  </si>
  <si>
    <t>SSD interno a400, unidade de estado sólido, 120gb, 240gb</t>
  </si>
  <si>
    <t>Kingston</t>
  </si>
  <si>
    <t> SSD Compatível com 2 Unidades de Estado Sólido, Sata III Storage</t>
  </si>
  <si>
    <t>Sata 3 </t>
  </si>
  <si>
    <t>Semi Mecânico Gamer Led Rgb Usb Gaming Keyboard M-800</t>
  </si>
  <si>
    <t>AOAS</t>
  </si>
  <si>
    <t>HXSJ-V200 Teclado com fio Mini Gaming, K68 RGB Streamer</t>
  </si>
  <si>
    <t>HYSJ</t>
  </si>
  <si>
    <t>Teclado mecânico Hot-Swappable sem fio K86, Bluetooth, 2.4g</t>
  </si>
  <si>
    <t> Hot-Swappable</t>
  </si>
  <si>
    <t>Teclado mecânico para jogos com fio K500, Hot Swappable, 94 teclas.</t>
  </si>
  <si>
    <t>Hot Swappable</t>
  </si>
  <si>
    <t>TECLADO FORTREK OLK101, ABNT2, PRETO, 75858</t>
  </si>
  <si>
    <t>TECLADO GAMER MOTOSPEED K70L RAINBOW MEMBRANA, FMSTC0022PTO</t>
  </si>
  <si>
    <t>TECLADO GAMER REDRAGON LULUCA, BRANCO, L502</t>
  </si>
  <si>
    <t>REDRAGON</t>
  </si>
  <si>
    <t>Webcam</t>
  </si>
  <si>
    <t>WEBCAM STREAMPLIFY CAM, 1080P, 60 FPS, USB, PRETA</t>
  </si>
  <si>
    <t>STREAMPLIFY</t>
  </si>
  <si>
    <t>CAMERA HIKVISION EZVIZ H1C, WIFI, 1080P, BRANCO, CS-H1C</t>
  </si>
  <si>
    <t>HIKVISION</t>
  </si>
  <si>
    <t>WEBCAM INTELBRAS, HD 720P, USB, PRETA, CAM-720P</t>
  </si>
  <si>
    <t>INTELBRAS</t>
  </si>
  <si>
    <t>WEBCAM TRUST TYRO FULL HD 1080P PRETO, T23637</t>
  </si>
  <si>
    <t>Trust</t>
  </si>
  <si>
    <t>WEBCAM TRUST TAXON, QHD 2K, USB, PRETA, T24228</t>
  </si>
  <si>
    <t>WEBCAM BLUECASE FULL HD 1080P C/ MICROFONE, BWEB1080P-02</t>
  </si>
  <si>
    <t>BlueCase</t>
  </si>
  <si>
    <t>WEBCAM PCYES RAZA, FULL HD 1080P, PRETO, FHD-02-35463</t>
  </si>
  <si>
    <t>PCYES!</t>
  </si>
  <si>
    <t>Localidade dos nossos Departamentos:</t>
  </si>
  <si>
    <t>Estado:</t>
  </si>
  <si>
    <t>Cidade:</t>
  </si>
  <si>
    <t>Região:</t>
  </si>
  <si>
    <t>Valor de frete:</t>
  </si>
  <si>
    <t>Tabela: Valor de Frete por Região:</t>
  </si>
  <si>
    <t>Roraima.</t>
  </si>
  <si>
    <t>Boa Vista</t>
  </si>
  <si>
    <t>Norte</t>
  </si>
  <si>
    <t>Rondônia.</t>
  </si>
  <si>
    <r>
      <t>Porto Velho</t>
    </r>
    <r>
      <rPr>
        <sz val="15"/>
        <color rgb="FFE8E8E8"/>
        <rFont val="Google Sans"/>
        <charset val="1"/>
      </rPr>
      <t>.</t>
    </r>
  </si>
  <si>
    <t>Nordeste</t>
  </si>
  <si>
    <t>Acre.</t>
  </si>
  <si>
    <t>Capixaba</t>
  </si>
  <si>
    <t>Centro-Oeste</t>
  </si>
  <si>
    <t>Pará.</t>
  </si>
  <si>
    <t>Belém</t>
  </si>
  <si>
    <t>Sudeste</t>
  </si>
  <si>
    <t>Maranhão.</t>
  </si>
  <si>
    <t>São Luís</t>
  </si>
  <si>
    <t>Sul</t>
  </si>
  <si>
    <t>Bahia.</t>
  </si>
  <si>
    <t>Salvador</t>
  </si>
  <si>
    <t>Ceará.</t>
  </si>
  <si>
    <t>Fortaleza</t>
  </si>
  <si>
    <t>Mato Grosso.</t>
  </si>
  <si>
    <t>Vale do Rio Cuiabá</t>
  </si>
  <si>
    <t>Goiás</t>
  </si>
  <si>
    <t>Goiânia</t>
  </si>
  <si>
    <t>Mato Grosso do Sul.</t>
  </si>
  <si>
    <t>Corumbá</t>
  </si>
  <si>
    <t>São Paulo.</t>
  </si>
  <si>
    <t>Rio de Janeiro.</t>
  </si>
  <si>
    <t>Rio Grande do Sul.</t>
  </si>
  <si>
    <t>Porto Alegre.</t>
  </si>
  <si>
    <t>Santa Catarina.</t>
  </si>
  <si>
    <t>Florianópolis</t>
  </si>
  <si>
    <t>Selecione a região em que mora para que possa ser calculado nosso frete:</t>
  </si>
  <si>
    <t>Seu Frete:</t>
  </si>
  <si>
    <t>Preço do Produto com Frete:</t>
  </si>
  <si>
    <t>Preço do Produto com Desconto: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</si>
</sst>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$-416]\ * #,##0.00_-;\-[$R$-416]\ * #,##0.00_-;_-[$R$-416]\ * &quot;-&quot;??_-;_-@_-"/>
    <numFmt numFmtId="165" formatCode="&quot;R$&quot;\ #,##0.00"/>
  </numFmts>
  <fonts count="17">
    <font>
      <sz val="11"/>
      <color theme="1"/>
      <name val="Aptos Narrow"/>
      <family val="2"/>
      <scheme val="minor"/>
    </font>
    <font>
      <sz val="11"/>
      <color rgb="FF000000"/>
      <name val="Aptos Narrow"/>
      <charset val="1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48"/>
      <color theme="1"/>
      <name val="Algerian"/>
      <family val="5"/>
    </font>
    <font>
      <b/>
      <sz val="14"/>
      <color theme="1"/>
      <name val="Aptos Narrow"/>
      <scheme val="minor"/>
    </font>
    <font>
      <b/>
      <sz val="16"/>
      <color theme="1"/>
      <name val="Aptos Narrow"/>
      <scheme val="minor"/>
    </font>
    <font>
      <sz val="11"/>
      <color rgb="FF000000"/>
      <name val="Aptos Display"/>
    </font>
    <font>
      <sz val="11"/>
      <color theme="1"/>
      <name val="Aptos Display"/>
    </font>
    <font>
      <b/>
      <sz val="11"/>
      <color theme="0"/>
      <name val="Aptos Narrow"/>
      <family val="2"/>
      <scheme val="minor"/>
    </font>
    <font>
      <b/>
      <sz val="20"/>
      <color rgb="FFFF0000"/>
      <name val="Comic Sans MS"/>
    </font>
    <font>
      <sz val="15"/>
      <color rgb="FFE8E8E8"/>
      <name val="Google Sans"/>
      <charset val="1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20"/>
      <color rgb="FFFF0000"/>
      <name val="Comic Sans MS"/>
      <family val="4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0" fontId="0" fillId="0" borderId="5" xfId="0" applyBorder="1"/>
    <xf numFmtId="164" fontId="0" fillId="0" borderId="1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7" xfId="0" applyNumberFormat="1" applyBorder="1" applyAlignment="1">
      <alignment horizontal="left" vertical="center"/>
    </xf>
    <xf numFmtId="0" fontId="0" fillId="0" borderId="8" xfId="0" applyBorder="1"/>
    <xf numFmtId="164" fontId="0" fillId="0" borderId="6" xfId="0" applyNumberFormat="1" applyBorder="1" applyAlignment="1">
      <alignment horizontal="left" vertical="center"/>
    </xf>
    <xf numFmtId="0" fontId="1" fillId="0" borderId="0" xfId="0" applyFont="1"/>
    <xf numFmtId="9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0" borderId="8" xfId="1" applyBorder="1"/>
    <xf numFmtId="0" fontId="2" fillId="0" borderId="2" xfId="1" applyBorder="1"/>
    <xf numFmtId="0" fontId="2" fillId="0" borderId="9" xfId="1" applyBorder="1"/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10" fontId="3" fillId="0" borderId="7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165" fontId="0" fillId="3" borderId="11" xfId="0" applyNumberForma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1" applyBorder="1"/>
    <xf numFmtId="0" fontId="0" fillId="0" borderId="2" xfId="0" applyBorder="1"/>
    <xf numFmtId="0" fontId="1" fillId="0" borderId="8" xfId="0" applyFont="1" applyBorder="1"/>
    <xf numFmtId="0" fontId="1" fillId="0" borderId="2" xfId="0" applyFont="1" applyBorder="1"/>
    <xf numFmtId="0" fontId="7" fillId="5" borderId="1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0" xfId="0" applyNumberFormat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165" fontId="3" fillId="8" borderId="8" xfId="0" applyNumberFormat="1" applyFont="1" applyFill="1" applyBorder="1" applyAlignment="1">
      <alignment horizontal="center"/>
    </xf>
    <xf numFmtId="9" fontId="3" fillId="8" borderId="1" xfId="0" applyNumberFormat="1" applyFont="1" applyFill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/>
    </xf>
    <xf numFmtId="165" fontId="3" fillId="10" borderId="1" xfId="0" applyNumberFormat="1" applyFont="1" applyFill="1" applyBorder="1" applyAlignment="1">
      <alignment horizontal="center" vertical="center"/>
    </xf>
    <xf numFmtId="0" fontId="14" fillId="11" borderId="11" xfId="0" applyFont="1" applyFill="1" applyBorder="1" applyAlignment="1">
      <alignment horizontal="center" vertical="center" wrapText="1"/>
    </xf>
    <xf numFmtId="165" fontId="14" fillId="11" borderId="11" xfId="0" applyNumberFormat="1" applyFont="1" applyFill="1" applyBorder="1" applyAlignment="1">
      <alignment horizontal="center" vertical="center"/>
    </xf>
    <xf numFmtId="165" fontId="15" fillId="8" borderId="11" xfId="0" applyNumberFormat="1" applyFont="1" applyFill="1" applyBorder="1"/>
    <xf numFmtId="0" fontId="0" fillId="12" borderId="11" xfId="0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wrapText="1"/>
    </xf>
    <xf numFmtId="0" fontId="10" fillId="6" borderId="14" xfId="0" applyFont="1" applyFill="1" applyBorder="1" applyAlignment="1">
      <alignment horizontal="center" wrapText="1"/>
    </xf>
    <xf numFmtId="0" fontId="10" fillId="6" borderId="6" xfId="0" applyFont="1" applyFill="1" applyBorder="1" applyAlignment="1">
      <alignment horizont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12" fillId="10" borderId="1" xfId="0" applyFont="1" applyFill="1" applyBorder="1" applyAlignment="1">
      <alignment horizontal="center" vertical="center" wrapText="1"/>
    </xf>
    <xf numFmtId="0" fontId="13" fillId="9" borderId="0" xfId="0" applyFont="1" applyFill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3" fillId="8" borderId="11" xfId="0" applyFont="1" applyFill="1" applyBorder="1" applyAlignment="1">
      <alignment horizontal="center"/>
    </xf>
    <xf numFmtId="165" fontId="0" fillId="0" borderId="11" xfId="0" applyNumberFormat="1" applyBorder="1" applyAlignment="1">
      <alignment horizontal="center" vertical="center"/>
    </xf>
    <xf numFmtId="0" fontId="0" fillId="0" borderId="0" xfId="0" applyNumberFormat="1"/>
  </cellXfs>
  <cellStyles count="2">
    <cellStyle name="Hyperlink" xfId="1" xr:uid="{00000000-000B-0000-0000-000008000000}"/>
    <cellStyle name="Normal" xfId="0" builtinId="0"/>
  </cellStyles>
  <dxfs count="11"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charset val="1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center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1997869</xdr:colOff>
      <xdr:row>14</xdr:row>
      <xdr:rowOff>211931</xdr:rowOff>
    </xdr:from>
    <xdr:to>
      <xdr:col>11</xdr:col>
      <xdr:colOff>3414713</xdr:colOff>
      <xdr:row>16</xdr:row>
      <xdr:rowOff>69056</xdr:rowOff>
    </xdr:to>
    <xdr:sp macro="[0]!Sul" textlink="">
      <xdr:nvSpPr>
        <xdr:cNvPr id="3" name="Retângulo 2">
          <a:extLst>
            <a:ext uri="{FF2B5EF4-FFF2-40B4-BE49-F238E27FC236}">
              <a16:creationId xmlns:a16="http://schemas.microsoft.com/office/drawing/2014/main" id="{4366EEBD-1581-4987-8D36-520C22FC8AC4}"/>
            </a:ext>
          </a:extLst>
        </xdr:cNvPr>
        <xdr:cNvSpPr/>
      </xdr:nvSpPr>
      <xdr:spPr>
        <a:xfrm>
          <a:off x="19095244" y="5069681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Sul</a:t>
          </a:r>
        </a:p>
      </xdr:txBody>
    </xdr:sp>
    <xdr:clientData/>
  </xdr:twoCellAnchor>
  <xdr:twoCellAnchor>
    <xdr:from>
      <xdr:col>11</xdr:col>
      <xdr:colOff>2024062</xdr:colOff>
      <xdr:row>18</xdr:row>
      <xdr:rowOff>11906</xdr:rowOff>
    </xdr:from>
    <xdr:to>
      <xdr:col>11</xdr:col>
      <xdr:colOff>3440906</xdr:colOff>
      <xdr:row>21</xdr:row>
      <xdr:rowOff>130969</xdr:rowOff>
    </xdr:to>
    <xdr:sp macro="[0]!Sudeste" textlink="">
      <xdr:nvSpPr>
        <xdr:cNvPr id="4" name="Retângulo 3">
          <a:extLst>
            <a:ext uri="{FF2B5EF4-FFF2-40B4-BE49-F238E27FC236}">
              <a16:creationId xmlns:a16="http://schemas.microsoft.com/office/drawing/2014/main" id="{6875477B-2DB1-4272-90FE-FC727AE2E045}"/>
            </a:ext>
          </a:extLst>
        </xdr:cNvPr>
        <xdr:cNvSpPr/>
      </xdr:nvSpPr>
      <xdr:spPr>
        <a:xfrm>
          <a:off x="19121437" y="6084094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Sudeste</a:t>
          </a:r>
        </a:p>
      </xdr:txBody>
    </xdr:sp>
    <xdr:clientData/>
  </xdr:twoCellAnchor>
  <xdr:twoCellAnchor>
    <xdr:from>
      <xdr:col>11</xdr:col>
      <xdr:colOff>190500</xdr:colOff>
      <xdr:row>17</xdr:row>
      <xdr:rowOff>178593</xdr:rowOff>
    </xdr:from>
    <xdr:to>
      <xdr:col>11</xdr:col>
      <xdr:colOff>1607344</xdr:colOff>
      <xdr:row>21</xdr:row>
      <xdr:rowOff>107156</xdr:rowOff>
    </xdr:to>
    <xdr:sp macro="[0]!Nordeste" textlink="">
      <xdr:nvSpPr>
        <xdr:cNvPr id="5" name="Retângulo 4">
          <a:extLst>
            <a:ext uri="{FF2B5EF4-FFF2-40B4-BE49-F238E27FC236}">
              <a16:creationId xmlns:a16="http://schemas.microsoft.com/office/drawing/2014/main" id="{1CCE5CDC-DE0F-4D89-8F65-ADBB59CCB2EB}"/>
            </a:ext>
          </a:extLst>
        </xdr:cNvPr>
        <xdr:cNvSpPr/>
      </xdr:nvSpPr>
      <xdr:spPr>
        <a:xfrm>
          <a:off x="17287875" y="6060281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Nordeste</a:t>
          </a:r>
        </a:p>
      </xdr:txBody>
    </xdr:sp>
    <xdr:clientData/>
  </xdr:twoCellAnchor>
  <xdr:twoCellAnchor>
    <xdr:from>
      <xdr:col>11</xdr:col>
      <xdr:colOff>202407</xdr:colOff>
      <xdr:row>23</xdr:row>
      <xdr:rowOff>47624</xdr:rowOff>
    </xdr:from>
    <xdr:to>
      <xdr:col>11</xdr:col>
      <xdr:colOff>1619251</xdr:colOff>
      <xdr:row>26</xdr:row>
      <xdr:rowOff>166687</xdr:rowOff>
    </xdr:to>
    <xdr:sp macro="[0]!Centro_Oeste" textlink="">
      <xdr:nvSpPr>
        <xdr:cNvPr id="6" name="Retângulo 5">
          <a:extLst>
            <a:ext uri="{FF2B5EF4-FFF2-40B4-BE49-F238E27FC236}">
              <a16:creationId xmlns:a16="http://schemas.microsoft.com/office/drawing/2014/main" id="{9B92D2F7-42C8-4E69-B825-FDFAAD6B9B97}"/>
            </a:ext>
          </a:extLst>
        </xdr:cNvPr>
        <xdr:cNvSpPr/>
      </xdr:nvSpPr>
      <xdr:spPr>
        <a:xfrm>
          <a:off x="17299782" y="7072312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Centro-Oeste</a:t>
          </a:r>
        </a:p>
      </xdr:txBody>
    </xdr:sp>
    <xdr:clientData/>
  </xdr:twoCellAnchor>
  <xdr:twoCellAnchor>
    <xdr:from>
      <xdr:col>11</xdr:col>
      <xdr:colOff>2024063</xdr:colOff>
      <xdr:row>23</xdr:row>
      <xdr:rowOff>71437</xdr:rowOff>
    </xdr:from>
    <xdr:to>
      <xdr:col>11</xdr:col>
      <xdr:colOff>3440907</xdr:colOff>
      <xdr:row>27</xdr:row>
      <xdr:rowOff>0</xdr:rowOff>
    </xdr:to>
    <xdr:sp macro="[0]!Apagando" textlink="">
      <xdr:nvSpPr>
        <xdr:cNvPr id="7" name="Retângulo 6">
          <a:extLst>
            <a:ext uri="{FF2B5EF4-FFF2-40B4-BE49-F238E27FC236}">
              <a16:creationId xmlns:a16="http://schemas.microsoft.com/office/drawing/2014/main" id="{31FE9895-FE2A-4E2B-8609-AD8619206D96}"/>
            </a:ext>
          </a:extLst>
        </xdr:cNvPr>
        <xdr:cNvSpPr/>
      </xdr:nvSpPr>
      <xdr:spPr>
        <a:xfrm>
          <a:off x="19121438" y="7096125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</xdr:txBody>
    </xdr:sp>
    <xdr:clientData/>
  </xdr:twoCellAnchor>
  <xdr:twoCellAnchor>
    <xdr:from>
      <xdr:col>11</xdr:col>
      <xdr:colOff>185737</xdr:colOff>
      <xdr:row>14</xdr:row>
      <xdr:rowOff>209550</xdr:rowOff>
    </xdr:from>
    <xdr:to>
      <xdr:col>11</xdr:col>
      <xdr:colOff>1602581</xdr:colOff>
      <xdr:row>16</xdr:row>
      <xdr:rowOff>66675</xdr:rowOff>
    </xdr:to>
    <xdr:sp macro="[0]!Norte" textlink="">
      <xdr:nvSpPr>
        <xdr:cNvPr id="8" name="Retângulo 7">
          <a:extLst>
            <a:ext uri="{FF2B5EF4-FFF2-40B4-BE49-F238E27FC236}">
              <a16:creationId xmlns:a16="http://schemas.microsoft.com/office/drawing/2014/main" id="{86744B7E-8B6D-4B2C-B87E-1009F3390AD8}"/>
            </a:ext>
          </a:extLst>
        </xdr:cNvPr>
        <xdr:cNvSpPr/>
      </xdr:nvSpPr>
      <xdr:spPr>
        <a:xfrm>
          <a:off x="17283112" y="5067300"/>
          <a:ext cx="1416844" cy="690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Norte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A78C37-8CA7-4A8E-9E9D-7F957EE80A18}" name="Tabela2" displayName="Tabela2" ref="B2:J135" totalsRowShown="0" headerRowDxfId="10" headerRowBorderDxfId="9" tableBorderDxfId="8">
  <autoFilter ref="B2:J135" xr:uid="{865BBEF0-B6BF-4C86-8A0C-52BC9F0883B9}"/>
  <tableColumns count="9">
    <tableColumn id="1" xr3:uid="{07A8FCBB-199B-48A5-ADF5-DA3FDC1D34AF}" name="Código do produto" dataDxfId="7"/>
    <tableColumn id="2" xr3:uid="{3A2601B9-29D4-410A-B4A6-7F42DA77131B}" name="Tipo do Produto:" dataDxfId="6"/>
    <tableColumn id="3" xr3:uid="{C215CEBF-3FA9-4A6A-BB9C-8F042B0DF5A9}" name="Nome do produto:" dataDxfId="5"/>
    <tableColumn id="4" xr3:uid="{7C4FC43B-F4CF-485C-9046-6223E0E90BD9}" name="Valor unitário:" dataDxfId="4"/>
    <tableColumn id="5" xr3:uid="{3EA9A2BF-29C5-4B54-91B0-784BE95055E0}" name="Desconto do Produto:" dataDxfId="3">
      <calculatedColumnFormula>IF(AND(E3&gt;=20,E3&lt;=90),5%,IF(AND(E3&gt;90,E3&lt;=130),8%,IF(AND(E3&gt;130,E3&lt;=170),14%,IF(AND(E3&gt;170,E3&lt;=230),18%,IF(AND(E3&gt;230,E3&lt;=360),20%,IF(AND(E3&gt;360,E3&lt;=460),24%,IF(AND(E3&gt;460,E3&lt;=520),28%,IF(AND(E3&gt;520,E3&lt;=600),30%,IF(AND(E3&gt;600,E3&lt;=710),32%,IF(AND(E3&gt;710,E3&lt;=900),38%,IF(AND(E3&gt;900),"40%","-")))))))))))</calculatedColumnFormula>
    </tableColumn>
    <tableColumn id="6" xr3:uid="{249096DE-E4D4-49E3-8D60-D80B2B02A0DB}" name="Parcelas" dataDxfId="2">
      <calculatedColumnFormula>IF(F3=5%,"2X",IF(F3=8%,"3X",IF(F3=14%,"4X",IF(F3=18%,"5X",IF(F3=20%,"6X",IF(F3=24%,"7X",IF(F3=28%,"8X",IF(F3=30%,"9X",IF(F3=32%,"10X",IF(F3=34%,"11X",IF(F3=38%,"12X","-")))))))))))</calculatedColumnFormula>
    </tableColumn>
    <tableColumn id="7" xr3:uid="{0D4ABA84-A948-483D-BA1E-E93FDDC3DD90}" name="Marca do produto:" dataDxfId="1"/>
    <tableColumn id="8" xr3:uid="{7FE532F7-7BC9-4A8C-93E8-C7FDDB571390}" name="Link do produto:" dataDxfId="0" dataCellStyle="Hyperlink"/>
    <tableColumn id="9" xr3:uid="{E47CDE1B-4739-439A-A99C-9B6D5719B68C}" name="Componentes: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terabyteshop.com.br/produto/15926/cooler-para-gabinete-t-dagger-120mm-led-blue-t-tgf300-b?gad_source=4&amp;gclid=Cj0KCQjwsaqzBhDdARIsAK2gqncpCB9K5bgeyTcV_99knSJYK3TIVL2e1CJt57ukysjgbQgB6Jln1ngaAojGEALw_wcB" TargetMode="External"/><Relationship Id="rId117" Type="http://schemas.openxmlformats.org/officeDocument/2006/relationships/hyperlink" Target="https://pt.aliexpress.com/item/1005006220211125.html?spm=a2g0o.productlist.main.35.4885QVQmQVQmZw&amp;algo_pvid=dcccf080-3066-4ea6-96ff-649c6e19ef8f&amp;algo_exp_id=dcccf080-3066-4ea6-96ff-649c6e19ef8f-17&amp;pdp_npi=4%40dis%21BRL%2177.00%2177.00%21%21%2198.75%2198.75%21%40210308a417189016723416244ecc3c%2112000036336076764%21sea%21BR%210%21AB&amp;curPageLogUid=OLdA7hTgxrF5&amp;utparam-url=scene%3Asearch%7Cquery_from%3A" TargetMode="External"/><Relationship Id="rId21" Type="http://schemas.openxmlformats.org/officeDocument/2006/relationships/hyperlink" Target="https://www.terabyteshop.com.br/produto/25138/fonte-brx-rainbow-rgb-850w-80-plus-bronze-pfc-ativo-51033682?gad_source=1&amp;gclid=Cj0KCQjwsaqzBhDdARIsAK2gqndTjMrSBb7SvC-GvFSFgYgoZcJ7_gUY6uCDDlK9cuptqb0yF06GpvEaArqLEALw_wcB" TargetMode="External"/><Relationship Id="rId42" Type="http://schemas.openxmlformats.org/officeDocument/2006/relationships/hyperlink" Target="https://www.mercadolivre.com.br/hd-seagate-1tb-barracuda-pro-compute-35-sata-6gbs-cor-prateado-st1000dm010/p/MLB24819134?matt_tool=18956390&amp;utm_source=google_shopping&amp;utm_medium=organic&amp;item_id=MLB4711251888&amp;from=gshop" TargetMode="External"/><Relationship Id="rId47" Type="http://schemas.openxmlformats.org/officeDocument/2006/relationships/hyperlink" Target="https://www.mercadolivre.com.br/headset-gamer-mancer-twilight-rgb-drivers-50mm-cor-preto/p/MLB23174784?item_id=MLB3465740149&amp;from=gshop&amp;matt_tool=11660798&amp;matt_word=&amp;matt_source=google&amp;matt_campaign_id=14303413658&amp;matt_ad_group_id=125984293877&amp;matt_match_type=&amp;matt_network=g&amp;matt_device=c&amp;matt_creative=539354956710&amp;matt_keyword=&amp;matt_ad_position=&amp;matt_ad_type=pla&amp;matt_merchant_id=735098660&amp;matt_product_id=MLB23174784-product&amp;matt_product_partition_id=2267946083266&amp;matt_target_id=pla-2267946083266&amp;cq_src=google_ads&amp;cq_cmp=14303413658&amp;cq_net=g&amp;cq_plt=gp&amp;cq_med=pla&amp;gad_source=1&amp;gclid=Cj0KCQjw4MSzBhC8ARIsAPFOuyXh7uQI3E3eykFQdNYmUfm-1UQ7gMpAwEMzAv2kPuIuKYWyZ1XB9y8aAgycEALw_wcB" TargetMode="External"/><Relationship Id="rId63" Type="http://schemas.openxmlformats.org/officeDocument/2006/relationships/hyperlink" Target="https://www.casasbahia.com.br/mesa-gamer-escrivaninha-desk-drx-5000-moveis-leao-preto-1546750081/p/1546750081?utm_medium=Cpc&amp;utm_source=google_freelisting&amp;IdSku=1546750081&amp;idLojista=10798&amp;tipoLojista=3P&amp;srsltid=AfmBOoq1ax8BXEs99Sn8azScVRkyulW7GkBL_v-TWbK8l0AXf3RJ0Y_FnfQ" TargetMode="External"/><Relationship Id="rId68" Type="http://schemas.openxmlformats.org/officeDocument/2006/relationships/hyperlink" Target="https://www.amazon.com.br/Mesa-Digitalizadora-One-Wacom-CTL472/dp/B0785S55QQ?source=ps-sl-shoppingads-lpcontext&amp;ref_=fplfs&amp;psc=1&amp;smid=A1ZZFT5FULY4LN" TargetMode="External"/><Relationship Id="rId84" Type="http://schemas.openxmlformats.org/officeDocument/2006/relationships/hyperlink" Target="https://www.carrefour.com.br/mouse-para-jogo-razer-deathadder-essential-preto-mp929221146/p" TargetMode="External"/><Relationship Id="rId89" Type="http://schemas.openxmlformats.org/officeDocument/2006/relationships/hyperlink" Target="https://www.amazon.com.br/Mouse-Gamer-Grande-Derrapante-Profissional/dp/B0CT41TYYR/ref=asc_df_B0CT41TYYR/?tag=googleshopp00-20&amp;linkCode=df0&amp;hvadid=647399698239&amp;hvpos=&amp;hvnetw=g&amp;hvrand=14129186534020307197&amp;hvpone=&amp;hvptwo=&amp;hvqmt=&amp;hvdev=c&amp;hvdvcmdl=&amp;hvlocint=&amp;hvlocphy=9100445&amp;hvtargid=pla-2348524536677&amp;psc=1&amp;mcid=386f44707273320fb38cf02e09190208" TargetMode="External"/><Relationship Id="rId112" Type="http://schemas.openxmlformats.org/officeDocument/2006/relationships/hyperlink" Target="https://www.pichau.com.br/processador-amd-ryzen-5-5500-6-core-12-threads-3-6ghz-4-2ghz-turbo-cache-19mb-am4-100-100000457box?srsltid=AfmBOooEi96sUqtMkG4_UEyKaJhLdxYIWXrrCBvQjLdRZPzaUOeqC4Wz6xs" TargetMode="External"/><Relationship Id="rId133" Type="http://schemas.openxmlformats.org/officeDocument/2006/relationships/hyperlink" Target="https://www.pichau.com.br/webcam-pcyes-raza-full-hd-1080p-preto-fhd-02-35463" TargetMode="External"/><Relationship Id="rId16" Type="http://schemas.openxmlformats.org/officeDocument/2006/relationships/hyperlink" Target="https://www.pichau.com.br/fonte-multi-350w-atx-ga350" TargetMode="External"/><Relationship Id="rId107" Type="http://schemas.openxmlformats.org/officeDocument/2006/relationships/hyperlink" Target="https://www.amazon.com.br/Processador-Intel-I5-12400F-N%C3%BAcleos-BX8071512400F/dp/B09MDFH5HY/ref=asc_df_B09MDFH5HY/?tag=googleshopp00-20&amp;linkCode=df0&amp;hvadid=379714135425&amp;hvpos=&amp;hvnetw=g&amp;hvrand=1700306340998786473&amp;hvpone=&amp;hvptwo=&amp;hvqmt=&amp;hvdev=c&amp;hvdvcmdl=&amp;hvlocint=&amp;hvlocphy=9100445&amp;hvtargid=pla-1587126994691&amp;psc=1&amp;mcid=878ffa0599323f5098b70934a27e47b4" TargetMode="External"/><Relationship Id="rId11" Type="http://schemas.openxmlformats.org/officeDocument/2006/relationships/hyperlink" Target="https://www.kabum.com.br/produto/480342/soundbar-gamer-kbm-gaming-sb200-2-x-4w-8w-rms-p2-alimentacao-usb-rgb-kgsb200pt?gad_source=4&amp;gclid=Cj0KCQjwsaqzBhDdARIsAK2gqnfIAdLHhD-nxLs6-EuXWhq0-PDA2K1m1e-bYTkox4zLEVxuxA5pOR4aAoecEALw_wcB" TargetMode="External"/><Relationship Id="rId32" Type="http://schemas.openxmlformats.org/officeDocument/2006/relationships/hyperlink" Target="https://www.amazon.com.br/GABINETE-PHANTOM-NEOLOGIC-NL-3401-PHANTOM-COOLERS/dp/B0B6CMYXPX/ref=sr_1_10?__mk_pt_BR=%C3%85M%C3%85%C5%BD%C3%95%C3%91&amp;crid=DFJP4UVB8C9S&amp;dib=eyJ2IjoiMSJ9.aQ7X72JMYDA5CMZHJnwPLAtTfy01bxXHPQzSPQyy2ttEaWLb8pDjhWKK7s1jk502rSw66YlkzV8mLKI8FYZnv0J4KwFg0z657wGlThyi2xJbUR1eSqjktJH9691bJkqJYzskCRLrYcWVvwgyl4h3hru4GInC2A2Hjzc9xg0NdQ3ihAZGVvcFXqyRomIU1jcL9Y5UX0pjzQABqFbxwsWi0FauXkUM3mvtgAyKMAQ2QFpHhLFeLGAWhSfMvmIPwGfnL-lPFYpd24MdEv5IbaBtOL9-O0dsdQT6GxjVqjJyQLM.3pxaJR2rYtImae8wv3Bo4l3J8sjU6gzgJ4-3mrvw5_M&amp;dib_tag=se&amp;keywords=Gabinete&amp;qid=1718302546&amp;sprefix=gabin%2Caps%2C350&amp;sr=8-10&amp;ufe=app_do%3Aamzn1.fos.db68964d-7c0e-4bb2-a95c-e5cb9e32eb12" TargetMode="External"/><Relationship Id="rId37" Type="http://schemas.openxmlformats.org/officeDocument/2006/relationships/hyperlink" Target="https://www.amazon.com.br/Externo-Toshiba-Canvio-Basics-HDTB510XK3AA/dp/B0BQX6DVWY/ref=asc_df_B0BQX6DVWY/?tag=googleshopp06-20&amp;linkCode=df0&amp;hvadid=647503143023&amp;hvpos=&amp;hvnetw=g&amp;hvrand=13750371764521732160&amp;hvpone=&amp;hvptwo=&amp;hvqmt=&amp;hvdev=m&amp;hvdvcmdl=&amp;hvlocint=&amp;hvlocphy=9100449&amp;hvtargid=pla-1945574422786&amp;psc=1&amp;mcid=05590ff5f9aa3abb866d61c1a1e352ec" TargetMode="External"/><Relationship Id="rId53" Type="http://schemas.openxmlformats.org/officeDocument/2006/relationships/hyperlink" Target="https://www.pichau.com.br/memoria-team-group-t-force-vulcan-pichau-8gb-1x8-ddr4-3200mhz-c16-vermelha-tlprd48g3200hc16f01?gad_source=4&amp;gclid=Cj0KCQjw4MSzBhC8ARIsAPFOuyU6Q-oiXZ0lF4BQBnUmvfU7N4JoMznVYrUBkN7DiCNVDHp627bME6gaApUNEALw_wcB" TargetMode="External"/><Relationship Id="rId58" Type="http://schemas.openxmlformats.org/officeDocument/2006/relationships/hyperlink" Target="https://www.madeiramadeira.com.br/mesa-gamer-escrivaninha-3-gavetas-drx5000-moveis-leao-493824.html?origem=pla-493824&amp;utm_source=google&amp;utm_medium=cpc&amp;utm_content=escrivaninhas-para-escritorio-5036&amp;utm_term=&amp;utm_id=17674404911&amp;gad_source=1&amp;gclid=Cj0KCQjw4MSzBhC8ARIsAPFOuyXElhW90NefJgFXHiJ_iMQfU1mJvvxI70JnHb_pndlh8yaQhc-KnZkaAqooEALw_wcB" TargetMode="External"/><Relationship Id="rId74" Type="http://schemas.openxmlformats.org/officeDocument/2006/relationships/hyperlink" Target="https://produto.mercadolivre.com.br/MLB-3504961615-microfone-condensador-gamer-rgb-live-stream-podcast-usb-_JM?matt_tool=36625289&amp;matt_word=&amp;matt_source=google&amp;matt_campaign_id=14300459467&amp;matt_ad_group_id=126793518156&amp;matt_match_type=&amp;matt_network=g&amp;matt_device=c&amp;matt_creative=543111991151&amp;matt_keyword=&amp;matt_ad_position=&amp;matt_ad_type=pla&amp;matt_merchant_id=678526466&amp;matt_product_id=MLB3504961615&amp;matt_product_partition_id=1803740323341&amp;matt_target_id=pla-1803740323341&amp;cq_src=google_ads&amp;cq_cmp=14300459467&amp;cq_net=g&amp;cq_plt=gp&amp;cq_med=pla&amp;gad_source=4&amp;gclid=Cj0KCQjw4MSzBhC8ARIsAPFOuyU_hD_M1lKdHIkmojiLlAz_a85eqfg9dm7JhCtk6EjH9IIegVHF758aAtM9EALw_wcB" TargetMode="External"/><Relationship Id="rId79" Type="http://schemas.openxmlformats.org/officeDocument/2006/relationships/hyperlink" Target="https://www.amazon.com.br/Mouse-Gamer-Logitech-G403-Hero/dp/B07W6PD7QJ/ref=asc_df_B07W6PD7QJ/?tag=googleshopp00-20&amp;linkCode=df0&amp;hvadid=381324120234&amp;hvpos=&amp;hvnetw=g&amp;hvrand=16953346547554021814&amp;hvpone=&amp;hvptwo=&amp;hvqmt=&amp;hvdev=c&amp;hvdvcmdl=&amp;hvlocint=&amp;hvlocphy=9100445&amp;hvtargid=pla-882992992520&amp;psc=1&amp;mcid=11cff6442b193effa3171ac2ddc7086a" TargetMode="External"/><Relationship Id="rId102" Type="http://schemas.openxmlformats.org/officeDocument/2006/relationships/hyperlink" Target="https://www.login.com.br/placa-mae-asrock-b550m-stell-legend-am4/?sku=3028124.218233.0&amp;srsltid=AfmBOoqKkdnOl5_yEHdBwhrEBeshicG_SZcTrgUspUuTBGQjaRvCWtax8eM" TargetMode="External"/><Relationship Id="rId123" Type="http://schemas.openxmlformats.org/officeDocument/2006/relationships/hyperlink" Target="https://pt.aliexpress.com/item/1005007177840525.html?spm=a2g0o.productlist.main.19.2c326d12gIA255&amp;algo_pvid=14d2674a-2586-4b66-ab77-6d82b597a8b1&amp;algo_exp_id=14d2674a-2586-4b66-ab77-6d82b597a8b1-9&amp;pdp_npi=4%40dis%21BRL%21323.68%21161.84%21%21%21415.13%21207.56%21%40210318c317189023189807780e01ce%2112000039712116973%21sea%21BR%210%21AB&amp;curPageLogUid=KdkmK0pWRSce&amp;utparam-url=scene%3Asearch%7Cquery_from%3A" TargetMode="External"/><Relationship Id="rId128" Type="http://schemas.openxmlformats.org/officeDocument/2006/relationships/hyperlink" Target="https://www.pichau.com.br/camera-hikvision-ezviz-h1c-wifi-1080p-branco-cs-h1c" TargetMode="External"/><Relationship Id="rId5" Type="http://schemas.openxmlformats.org/officeDocument/2006/relationships/hyperlink" Target="https://www.terabyteshop.com.br/produto/26728/cadeira-gamer-superframe-rocket-reclinavel-preto?gad_source=4&amp;gclid=Cj0KCQjwsaqzBhDdARIsAK2gqncDlBgFQ_wjMIo52jbf8AqM7ffyWDW_YkU9L8Pkc31FLGr1b3xHqRUaAjWFEALw_wcB" TargetMode="External"/><Relationship Id="rId90" Type="http://schemas.openxmlformats.org/officeDocument/2006/relationships/hyperlink" Target="https://www.kabum.com.br/produto/379849/mouse-pad-gamer-speed-extra-grande-abstract-premium-preto-e-branco-70x30-cm?srsltid=AfmBOoqpj0GMruBMUoX_tNKahbtou0inr-pv4_pm2sX7Kn0HYxhZ7yfhVx0" TargetMode="External"/><Relationship Id="rId95" Type="http://schemas.openxmlformats.org/officeDocument/2006/relationships/hyperlink" Target="https://www.kabum.com.br/produto/504403/placa-de-video-gigabyte-rx-6500-xt-eagle-amd-4gb-gddr6-gv-r65xteagle-4gd?gad_source=4&amp;gclid=Cj0KCQjw4MSzBhC8ARIsAPFOuyXx6u5kcV9EztHxM1N5e67OHYFQvis_8gHjM1auMF_nX-qkJ5VbDMsaAqJQEALw_wcB" TargetMode="External"/><Relationship Id="rId14" Type="http://schemas.openxmlformats.org/officeDocument/2006/relationships/hyperlink" Target="https://www.amazon.com.br/C3Tech-Speaker-SP-40BK-conexao-alimentacao/dp/B0CR49CT7N/ref=asc_df_B0CR49CT7N/?tag=googleshopp00-20&amp;linkCode=df0&amp;hvadid=647517509192&amp;hvpos=&amp;hvnetw=g&amp;hvrand=1015444225686221225&amp;hvpone=&amp;hvptwo=&amp;hvqmt=&amp;hvdev=c&amp;hvdvcmdl=&amp;hvlocint=&amp;hvlocphy=1001738&amp;hvtargid=pla-2303473943220&amp;psc=1&amp;mcid=5b1026c5e9bc354fb4c6ae7098e0e7e4" TargetMode="External"/><Relationship Id="rId22" Type="http://schemas.openxmlformats.org/officeDocument/2006/relationships/hyperlink" Target="https://www.pichau.com.br/kit-ventoinhas-mancer-z100-rgb-3x120mm-controladora-mcr-z10rgb-01?gad_source=4&amp;gclid=Cj0KCQjwsaqzBhDdARIsAK2gqnfrJMtsYRcoyEjQGUE4YewztmuNBBh_ICbnn5AKtwjqA236ErQefr4aAqcmEALw_wcB" TargetMode="External"/><Relationship Id="rId27" Type="http://schemas.openxmlformats.org/officeDocument/2006/relationships/hyperlink" Target="https://www.amazon.com.br/Cooler-Rise-Mode-Aura-3x120mm/dp/B01B95CCFA?source=ps-sl-shoppingads-lpcontext&amp;ref_=fplfs&amp;psc=1&amp;smid=A41WVZ1FN5HXO" TargetMode="External"/><Relationship Id="rId30" Type="http://schemas.openxmlformats.org/officeDocument/2006/relationships/hyperlink" Target="https://www.amazon.com.br/Gabinete-Redragon-Wideload-Pro-CA-604B-PRO/dp/B0CRHN3M8D/ref=sr_1_2?__mk_pt_BR=%C3%85M%C3%85%C5%BD%C3%95%C3%91&amp;crid=DFJP4UVB8C9S&amp;dib=eyJ2IjoiMSJ9.aQ7X72JMYDA5CMZHJnwPLAtTfy01bxXHPQzSPQyy2ttEaWLb8pDjhWKK7s1jk502rSw66YlkzV8mLKI8FYZnv0J4KwFg0z657wGlThyi2xJbUR1eSqjktJH9691bJkqJYzskCRLrYcWVvwgyl4h3hru4GInC2A2Hjzc9xg0NdQ3ihAZGVvcFXqyRomIU1jcL9Y5UX0pjzQABqFbxwsWi0FauXkUM3mvtgAyKMAQ2QFpHhLFeLGAWhSfMvmIPwGfnL-lPFYpd24MdEv5IbaBtOL9-O0dsdQT6GxjVqjJyQLM.3pxaJR2rYtImae8wv3Bo4l3J8sjU6gzgJ4-3mrvw5_M&amp;dib_tag=se&amp;keywords=Gabinete&amp;qid=1718302546&amp;sprefix=gabin%2Caps%2C350&amp;sr=8-2&amp;ufe=app_do%3Aamzn1.fos.4bddec23-2dcf-4403-8597-e1a02442043d&amp;th=1" TargetMode="External"/><Relationship Id="rId35" Type="http://schemas.openxmlformats.org/officeDocument/2006/relationships/hyperlink" Target="https://www.pichau.com.br/gabinete-gamer-tgt-legion-mid-tower-lateral-de-vidro-preto-tgt-lgn-bk?gad_source=4&amp;gclid=Cj0KCQjwvb-zBhCmARIsAAfUI2uriQ_LnIr148id8YV4J3qb80y-CNx5nrDAELngK6CUTL3iyhYP5jcaAhIJEALw_wcB" TargetMode="External"/><Relationship Id="rId43" Type="http://schemas.openxmlformats.org/officeDocument/2006/relationships/hyperlink" Target="https://www.amazon.com.br/Headset-Redragon-Sem-Fio-Zeus/dp/B0CNKVYLF5/ref=asc_df_B0CNKVYLF5/?tag=googleshopp00-20&amp;linkCode=df0&amp;hvadid=647471303419&amp;hvpos=&amp;hvnetw=g&amp;hvrand=17440911899547866627&amp;hvpone=&amp;hvptwo=&amp;hvqmt=&amp;hvdev=c&amp;hvdvcmdl=&amp;hvlocint=&amp;hvlocphy=9100445&amp;hvtargid=pla-2263543121260&amp;psc=1&amp;mcid=c002d32cfa463945bd160edec2c60a88" TargetMode="External"/><Relationship Id="rId48" Type="http://schemas.openxmlformats.org/officeDocument/2006/relationships/hyperlink" Target="https://www.amazon.com.br/Headphone-Ouvido-HV-H2002d-Microfone-Falante/dp/B07Y2G7VX5/ref=asc_df_B07Y2G7VX5/?tag=googleshopp00-20&amp;linkCode=df0&amp;hvadid=379712974695&amp;hvpos=&amp;hvnetw=g&amp;hvrand=12484919602005406641&amp;hvpone=&amp;hvptwo=&amp;hvqmt=&amp;hvdev=c&amp;hvdvcmdl=&amp;hvlocint=&amp;hvlocphy=9100445&amp;hvtargid=pla-846346845547&amp;psc=1&amp;mcid=5a5457f9e9623de085129fa7525ec004" TargetMode="External"/><Relationship Id="rId56" Type="http://schemas.openxmlformats.org/officeDocument/2006/relationships/hyperlink" Target="https://www.mercadolivre.com.br/memoria-rise-mode-desk-16gb-3200mhz-ddr4-z-series-/p/MLB23437626?matt_tool=18956390&amp;utm_source=google_shopping&amp;utm_medium=organic&amp;item_id=MLB4126461192&amp;from=gshop" TargetMode="External"/><Relationship Id="rId64" Type="http://schemas.openxmlformats.org/officeDocument/2006/relationships/hyperlink" Target="https://www.pichau.com.br/mesa-digitalizadora-zinnia-momentum-mt100-resolucao-5080lpi-niveis-de-pressao-8192-preto-znc-znmt100-bl01?gad_source=4&amp;gclid=Cj0KCQjw4MSzBhC8ARIsAPFOuyUQ9gOcQYbTClHSeSLKS1UFH1XwQiGMxBTVCxiiQfTbxFxieNuQVz8aAldDEALw_wcB" TargetMode="External"/><Relationship Id="rId69" Type="http://schemas.openxmlformats.org/officeDocument/2006/relationships/hyperlink" Target="https://www.storeatual.com/perifericos/mesa-digitalizadora/mesa-digitalizadora-xp-pen-star-03-v2-pen-tablet-preto" TargetMode="External"/><Relationship Id="rId77" Type="http://schemas.openxmlformats.org/officeDocument/2006/relationships/hyperlink" Target="https://www.amazon.com.br/HyperX-DuoCast-Microphone-Lighting-4P5E2AA/dp/B0B119XZBK/ref=asc_df_B0B119XZBK/?tag=googleshopp00-20&amp;linkCode=df0&amp;hvadid=379726213612&amp;hvpos=&amp;hvnetw=g&amp;hvrand=13378254160971067737&amp;hvpone=&amp;hvptwo=&amp;hvqmt=&amp;hvdev=c&amp;hvdvcmdl=&amp;hvlocint=&amp;hvlocphy=9100445&amp;hvtargid=pla-1679213941111&amp;psc=1&amp;mcid=9644a3842fba33b7a8673ca1e10ad558" TargetMode="External"/><Relationship Id="rId100" Type="http://schemas.openxmlformats.org/officeDocument/2006/relationships/hyperlink" Target="https://www.kabum.com.br/produto/280890/placa-mae-msi-a520m-a-pro-amd-am4-matx-ddr4?srsltid=AfmBOorJe-BtzRFxDLuqywGPJheO1saVga5XorPdP4mnnK0MXeyIhy8hpyg" TargetMode="External"/><Relationship Id="rId105" Type="http://schemas.openxmlformats.org/officeDocument/2006/relationships/hyperlink" Target="https://www.pichau.com.br/placa-mae-asrock-b450m-steel-legend-ddr4-socket-am4-chipset-amd-b450?gad_source=4&amp;gclid=Cj0KCQjw4MSzBhC8ARIsAPFOuyXsJjjViXUyH0Flfxwd0T0YDoj17SgKNnoOPqHUJRc3itEHQViq_J4aAonuEALw_wcB" TargetMode="External"/><Relationship Id="rId113" Type="http://schemas.openxmlformats.org/officeDocument/2006/relationships/hyperlink" Target="https://pt.aliexpress.com/item/1005007004050959.html?spm=a2g0o.productlist.main.1.4885QVQmQVQmZw&amp;algo_pvid=dcccf080-3066-4ea6-96ff-649c6e19ef8f&amp;algo_exp_id=dcccf080-3066-4ea6-96ff-649c6e19ef8f-0&amp;pdp_npi=4%40dis%21BRL%21334.70%21113.84%21%21%21429.27%21146.01%21%40210308a417189016723416244ecc3c%2112000039019024993%21sea%21BR%210%21AB&amp;curPageLogUid=zZ3suEYOzVfe&amp;utparam-url=scene%3Asearch%7Cquery_from%3A" TargetMode="External"/><Relationship Id="rId118" Type="http://schemas.openxmlformats.org/officeDocument/2006/relationships/hyperlink" Target="https://pt.aliexpress.com/item/1005005067044812.html?spm=a2g0o.productlist.main.31.4885QVQmQVQmZw&amp;algo_pvid=dcccf080-3066-4ea6-96ff-649c6e19ef8f&amp;aem_p4p_detail=20240620094112296221935074120007638454&amp;algo_exp_id=dcccf080-3066-4ea6-96ff-649c6e19ef8f-15&amp;pdp_npi=4%40dis%21BRL%21483.50%21207.97%21%21%2185.09%2136.60%21%40210308a417189016723416244ecc3c%2112000031508487577%21sea%21BR%210%21AB&amp;curPageLogUid=iEMGNEsRzemW&amp;utparam-url=scene%3Asearch%7Cquery_from%3A&amp;search_p4p_id=20240620094112296221935074120007638454_4" TargetMode="External"/><Relationship Id="rId126" Type="http://schemas.openxmlformats.org/officeDocument/2006/relationships/hyperlink" Target="https://www.pichau.com.br/teclado-gamer-redragon-luluca-branco-l502" TargetMode="External"/><Relationship Id="rId134" Type="http://schemas.openxmlformats.org/officeDocument/2006/relationships/printerSettings" Target="../printerSettings/printerSettings1.bin"/><Relationship Id="rId8" Type="http://schemas.openxmlformats.org/officeDocument/2006/relationships/hyperlink" Target="https://www.kabum.com.br/produto/149813/caixa-de-som-gamer-havit-rgb-conexao-3-5mm-usb-estereo-2-0-preto-sk202?gad_source=4&amp;gclid=Cj0KCQjwsaqzBhDdARIsAK2gqncFLCyC60KeEw_WlzEcBjPXbyUOvdYysA4JR1YEYhbNUK7Qy7xYRmsaAiLBEALw_wcB" TargetMode="External"/><Relationship Id="rId51" Type="http://schemas.openxmlformats.org/officeDocument/2006/relationships/hyperlink" Target="https://www.aliexpress.com/item/1005006854433415.html?src=google&amp;src=google&amp;albch=shopping&amp;acnt=768-202-3196&amp;slnk=&amp;plac=&amp;mtctp=&amp;albbt=Google_7_shopping&amp;gclsrc=aw.ds&amp;albagn=888888&amp;isSmbAutoCall=false&amp;needSmbHouyi=false&amp;src=google&amp;albch=shopping&amp;acnt=768-202-3196&amp;slnk=&amp;plac=&amp;mtctp=&amp;albbt=Google_7_shopping&amp;gclsrc=aw.ds&amp;albagn=888888&amp;ds_e_adid=&amp;ds_e_matchtype=&amp;ds_e_device=c&amp;ds_e_network=x&amp;ds_e_product_group_id=&amp;ds_e_product_id=pt1005006854433415&amp;ds_e_product_merchant_id=5357090828&amp;ds_e_product_country=BR&amp;ds_e_product_language=pt&amp;ds_e_product_channel=online&amp;ds_e_product_store_id=&amp;ds_url_v=2&amp;albcp=19639392923&amp;albag=&amp;isSmbAutoCall=false&amp;needSmbHouyi=false&amp;gad_source=4&amp;gclid=Cj0KCQjw4MSzBhC8ARIsAPFOuyWq9W2hkAGNWK5imTZT3xqujTkTcYY6fKQsa8Lx2s5kuWaYCqCdP9QaApavEALw_wcB&amp;aff_fcid=f408913c78764a2498f843617a85d630-1718728405840-07269-UneMJZVf&amp;aff_fsk=UneMJZVf&amp;aff_platform=aaf&amp;sk=UneMJZVf&amp;aff_trace_key=f408913c78764a2498f843617a85d630-1718728405840-07269-UneMJZVf&amp;terminal_id=6bba87b0df6a4d20aca389a9d8075841&amp;afSmartRedirect=y" TargetMode="External"/><Relationship Id="rId72" Type="http://schemas.openxmlformats.org/officeDocument/2006/relationships/hyperlink" Target="https://www.amazon.com.br/FIFINE-condensador-computador-Youtuber-AmpliGame-A6T/dp/B09Q2ZZGH2/ref=asc_df_B09Q2ZZGH2/?tag=googleshopp00-20&amp;linkCode=df0&amp;hvadid=379816334777&amp;hvpos=&amp;hvnetw=g&amp;hvrand=16192316635808502387&amp;hvpone=&amp;hvptwo=&amp;hvqmt=&amp;hvdev=c&amp;hvdvcmdl=&amp;hvlocint=&amp;hvlocphy=9100445&amp;hvtargid=pla-1827121214072&amp;psc=1&amp;mcid=9ba884cfe7d2324aa03af008b9a936bc" TargetMode="External"/><Relationship Id="rId80" Type="http://schemas.openxmlformats.org/officeDocument/2006/relationships/hyperlink" Target="https://www.amazon.com.br/Mouse-Gamer-Logitech-G502-LIGHTSPEED/dp/B07DCSZV9Y/ref=asc_df_B07DCSZV9Y/?tag=googleshopp00-20&amp;linkCode=df0&amp;hvadid=405263850692&amp;hvpos=&amp;hvnetw=g&amp;hvrand=16953346547554021814&amp;hvpone=&amp;hvptwo=&amp;hvqmt=&amp;hvdev=c&amp;hvdvcmdl=&amp;hvlocint=&amp;hvlocphy=9100445&amp;hvtargid=pla-843109949264&amp;psc=1&amp;mcid=8a140253c7ae3b97bd0c27bad1c06e42" TargetMode="External"/><Relationship Id="rId85" Type="http://schemas.openxmlformats.org/officeDocument/2006/relationships/hyperlink" Target="https://www.amazon.com.br/Mouse-Gamer-Grande-Derrapante-Profissional/dp/B0CLYWGZHK/ref=asc_df_B0CLYWGZHK/?tag=googleshopp00-20&amp;linkCode=df0&amp;hvadid=647399698239&amp;hvpos=&amp;hvnetw=g&amp;hvrand=14129186534020307197&amp;hvpone=&amp;hvptwo=&amp;hvqmt=&amp;hvdev=c&amp;hvdvcmdl=&amp;hvlocint=&amp;hvlocphy=9100445&amp;hvtargid=pla-2264911172334&amp;psc=1&amp;mcid=8343da8cb8de3f9b999de49a8c22bd06" TargetMode="External"/><Relationship Id="rId93" Type="http://schemas.openxmlformats.org/officeDocument/2006/relationships/hyperlink" Target="https://www.amazon.com.br/Placa-RTX4060TI-1-CLICK-128BIT-46ISL8MD8COC/dp/B0C5T2N31S/ref=asc_df_B0C5T2N31S/?tag=googleshopp00-20&amp;linkCode=df0&amp;hvadid=647682162692&amp;hvpos=&amp;hvnetw=g&amp;hvrand=5100307549271294558&amp;hvpone=&amp;hvptwo=&amp;hvqmt=&amp;hvdev=c&amp;hvdvcmdl=&amp;hvlocint=&amp;hvlocphy=9100445&amp;hvtargid=pla-2196911325316&amp;psc=1&amp;mcid=f08212cc0f13363685e91013f983657d" TargetMode="External"/><Relationship Id="rId98" Type="http://schemas.openxmlformats.org/officeDocument/2006/relationships/hyperlink" Target="https://www.kabum.com.br/produto/580364/placa-de-video-rtx-3060-palit-nvidia-geforce-12gb-gddr6-rgb-dlss-g-sync-ray-tracing-ne63060019k9-190ad?gad_source=1&amp;gclid=Cj0KCQjw4MSzBhC8ARIsAPFOuyUKUFKYKowrkJ9ldGs5zJEZXax5hOXxV8CDWJQnCWC_PhikxjSOAJcaAgmWEALw_wcB" TargetMode="External"/><Relationship Id="rId121" Type="http://schemas.openxmlformats.org/officeDocument/2006/relationships/hyperlink" Target="https://pt.aliexpress.com/item/1005005943464407.html?spm=a2g0o.productlist.main.5.2c326d12gIA255&amp;algo_pvid=14d2674a-2586-4b66-ab77-6d82b597a8b1&amp;algo_exp_id=14d2674a-2586-4b66-ab77-6d82b597a8b1-2&amp;pdp_npi=4%40dis%21BRL%21165.56%2154.50%21%21%21212.34%2169.90%21%40210318c317189023189807780e01ce%2112000034961220500%21sea%21BR%210%21AB&amp;curPageLogUid=wVEuWOIR7fe8&amp;utparam-url=scene%3Asearch%7Cquery_from%3A" TargetMode="External"/><Relationship Id="rId3" Type="http://schemas.openxmlformats.org/officeDocument/2006/relationships/hyperlink" Target="https://www.mercadolivre.com.br/cadeira-gamer-mx5-giratoria-branco-e-azul-mymax/p/MLB24097268?matt_tool=18956390&amp;utm_source=google_shopping&amp;utm_medium=organic&amp;item_id=MLB4212846680&amp;from=gshop" TargetMode="External"/><Relationship Id="rId12" Type="http://schemas.openxmlformats.org/officeDocument/2006/relationships/hyperlink" Target="https://www.amazon.com.br/Redragon-Alto-falante-GS510-alto-falante-aprimorados/dp/B08V1F3TFB/ref=asc_df_B08V1F3TFB/?tag=googleshopp00-20&amp;linkCode=df0&amp;hvadid=647566987151&amp;hvpos=&amp;hvnetw=g&amp;hvrand=1015444225686221225&amp;hvpone=&amp;hvptwo=&amp;hvqmt=&amp;hvdev=c&amp;hvdvcmdl=&amp;hvlocint=&amp;hvlocphy=1001738&amp;hvtargid=pla-1211021395584&amp;psc=1&amp;mcid=eeff3deda6d13cc581182181d6d3e468" TargetMode="External"/><Relationship Id="rId17" Type="http://schemas.openxmlformats.org/officeDocument/2006/relationships/hyperlink" Target="https://www.pichau.com.br/fonte-aerocool-vx-500-500w-en57136" TargetMode="External"/><Relationship Id="rId25" Type="http://schemas.openxmlformats.org/officeDocument/2006/relationships/hyperlink" Target="https://www.pichau.com.br/cooler-para-processador-pichau-sage-v2-black-edition-120mm-pg-sgebk-bk-v02?gad_source=4&amp;gclid=Cj0KCQjwsaqzBhDdARIsAK2gqnetrAxo3wvzLDlXSik_vW1_tAdiCEngr4N_DAjO6MRbvk5dGEp3_ucaAkwJEALw_wcB" TargetMode="External"/><Relationship Id="rId33" Type="http://schemas.openxmlformats.org/officeDocument/2006/relationships/hyperlink" Target="https://www.amazon.com.br/GABINETE-MICRO-FONTE-PRETO-BRX/dp/B0C5KPW9N5/ref=sr_1_6?__mk_pt_BR=%C3%85M%C3%85%C5%BD%C3%95%C3%91&amp;crid=DFJP4UVB8C9S&amp;dib=eyJ2IjoiMSJ9.aQ7X72JMYDA5CMZHJnwPLAtTfy01bxXHPQzSPQyy2ttEaWLb8pDjhWKK7s1jk502rSw66YlkzV8mLKI8FYZnv0J4KwFg0z657wGlThyi2xJbUR1eSqjktJH9691bJkqJYzskCRLrYcWVvwgyl4h3hru4GInC2A2Hjzc9xg0NdQ3ihAZGVvcFXqyRomIU1jcL9Y5UX0pjzQABqFbxwsWi0FauXkUM3mvtgAyKMAQ2QFpHhLFeLGAWhSfMvmIPwGfnL-lPFYpd24MdEv5IbaBtOL9-O0dsdQT6GxjVqjJyQLM.3pxaJR2rYtImae8wv3Bo4l3J8sjU6gzgJ4-3mrvw5_M&amp;dib_tag=se&amp;keywords=Gabinete&amp;qid=1718302546&amp;sprefix=gabin%2Caps%2C350&amp;sr=8-6&amp;ufe=app_do%3Aamzn1.fos.a492fd4a-f54d-4e8d-8c31-35e0a04ce61e" TargetMode="External"/><Relationship Id="rId38" Type="http://schemas.openxmlformats.org/officeDocument/2006/relationships/hyperlink" Target="https://produto.mercadolivre.com.br/MLB-3720146715-hd-externo-gamer-500-gb-gamer-notebook-pc-gamer-tv-video-game-tv-box-smart-tv-ps3-ps4-ps5-xbox-one-desktop-cpu-computador-_JM?matt_tool=18956390&amp;utm_source=google_shopping&amp;utm_medium=organic" TargetMode="External"/><Relationship Id="rId46" Type="http://schemas.openxmlformats.org/officeDocument/2006/relationships/hyperlink" Target="https://www.kabum.com.br/produto/104667/headset-gamer-razer-kraken-x-lite-surround-7-1-drivers-40mm-p2-rz04-02950100-r381?gad_source=1&amp;gclid=Cj0KCQjw4MSzBhC8ARIsAPFOuyXN9FfEC8jymRNupz_NAgt9hNX4Gi8wmXD1fstqZ47RYixNGbUlsoQaAh_pEALw_wcB" TargetMode="External"/><Relationship Id="rId59" Type="http://schemas.openxmlformats.org/officeDocument/2006/relationships/hyperlink" Target="https://www.madeiramadeira.com.br/mesa-gamer-escrivaninha-1-gaveta-drx-9000-moveis-leao-517579.html" TargetMode="External"/><Relationship Id="rId67" Type="http://schemas.openxmlformats.org/officeDocument/2006/relationships/hyperlink" Target="https://www.pichau.com.br/mesa-digitalizadora-zinnia-momentum-mt200-resolucao-5080lpi-niveis-de-pressao-8192-preto-znc-znmt200-bl01?gad_source=4&amp;gclid=Cj0KCQjw4MSzBhC8ARIsAPFOuyUYUKhzVaACgFm5x8UcGyL_UbHtiO87dyCFu4r83WgPBOtaVk0yJHgaApgzEALw_wcB" TargetMode="External"/><Relationship Id="rId103" Type="http://schemas.openxmlformats.org/officeDocument/2006/relationships/hyperlink" Target="https://www.amazon.com.br/MACHINIST-2011-V3-Motherboard-Gaming-USB3-0/dp/B09X1JGMXN?source=ps-sl-shoppingads-lpcontext&amp;ref_=fplfs&amp;psc=1&amp;smid=A14QMWTIW8EIWV" TargetMode="External"/><Relationship Id="rId108" Type="http://schemas.openxmlformats.org/officeDocument/2006/relationships/hyperlink" Target="https://www.amazon.com.br/Processador-AMD-Ryzen-7800X3D-Threads/dp/B0BTZB7F88/ref=asc_df_B0BTZB7F88/?tag=googleshopp00-20&amp;linkCode=df0&amp;hvadid=647509220085&amp;hvpos=&amp;hvnetw=g&amp;hvrand=1700306340998786473&amp;hvpone=&amp;hvptwo=&amp;hvqmt=&amp;hvdev=c&amp;hvdvcmdl=&amp;hvlocint=&amp;hvlocphy=9100445&amp;hvtargid=pla-2038214576084&amp;psc=1&amp;mcid=eb7895e3f97f34edb0f38d0566295528" TargetMode="External"/><Relationship Id="rId116" Type="http://schemas.openxmlformats.org/officeDocument/2006/relationships/hyperlink" Target="https://pt.aliexpress.com/item/1005004995772582.html?spm=a2g0o.productlist.main.39.4885QVQmQVQmZw&amp;algo_pvid=dcccf080-3066-4ea6-96ff-649c6e19ef8f&amp;aem_p4p_detail=20240620094112296221935074120007638454&amp;algo_exp_id=dcccf080-3066-4ea6-96ff-649c6e19ef8f-19&amp;pdp_npi=4%40dis%21BRL%21240.56%2161.79%21%21%21308.53%2179.25%21%40210308a417189016723416244ecc3c%2112000031311788157%21sea%21BR%210%21AB&amp;curPageLogUid=lsd156xiC5lT&amp;utparam-url=scene%3Asearch%7Cquery_from%3A&amp;search_p4p_id=20240620094112296221935074120007638454_5" TargetMode="External"/><Relationship Id="rId124" Type="http://schemas.openxmlformats.org/officeDocument/2006/relationships/hyperlink" Target="https://www.pichau.com.br/teclado-fortrek-olk101-abnt2-preto-75858" TargetMode="External"/><Relationship Id="rId129" Type="http://schemas.openxmlformats.org/officeDocument/2006/relationships/hyperlink" Target="https://www.pichau.com.br/webcam-intelbras-hd-720p-usb-preta-cam-720p" TargetMode="External"/><Relationship Id="rId20" Type="http://schemas.openxmlformats.org/officeDocument/2006/relationships/hyperlink" Target="https://www.pichau.com.br/fonte-gigabyte-p450b-450w-80plus-bronze-gp-p450b" TargetMode="External"/><Relationship Id="rId41" Type="http://schemas.openxmlformats.org/officeDocument/2006/relationships/hyperlink" Target="https://www.amazon.com.br/Interno-Barracuda-Compute-ST4000DM004-Seagate/dp/B0713R3Y6F/ref=asc_df_B0713R3Y6F/?tag=googleshopp00-20&amp;linkCode=df0&amp;hvadid=379699016329&amp;hvpos=&amp;hvnetw=g&amp;hvrand=4323100788098112620&amp;hvpone=&amp;hvptwo=&amp;hvqmt=&amp;hvdev=c&amp;hvdvcmdl=&amp;hvlocint=&amp;hvlocphy=9100445&amp;hvtargid=pla-349035050840&amp;psc=1&amp;mcid=e5c58bbbd46537818bc11f66ea4de1b7" TargetMode="External"/><Relationship Id="rId54" Type="http://schemas.openxmlformats.org/officeDocument/2006/relationships/hyperlink" Target="https://www.kabum.com.br/produto/193637/memoria-ram-kingston-fury-beast-rgb-16gb-3200mhz-ddr4-cl16-preto-kf432c16bba-16?srsltid=AfmBOooZ3gCB7oDF6wv4FQtWEyB6F6CLMTMTzqQnT-OzSO40cxDkaD2djhk" TargetMode="External"/><Relationship Id="rId62" Type="http://schemas.openxmlformats.org/officeDocument/2006/relationships/hyperlink" Target="https://www.mercadolivre.com.br/mesa-gamer-2-prateleiras-3875-qmovi-cor-preto-com-vermelho/p/MLB20313906?item_id=MLB4775232028&amp;from=gshop&amp;matt_tool=18983347&amp;matt_word=&amp;matt_source=google&amp;matt_campaign_id=14302215531&amp;matt_ad_group_id=155854918005&amp;matt_match_type=&amp;matt_network=g&amp;matt_device=c&amp;matt_creative=686778909993&amp;matt_keyword=&amp;matt_ad_position=&amp;matt_ad_type=pla&amp;matt_merchant_id=735128761&amp;matt_product_id=MLB20313906-product&amp;matt_product_partition_id=1963044459753&amp;matt_target_id=pla-1963044459753&amp;cq_src=google_ads&amp;cq_cmp=14302215531&amp;cq_net=g&amp;cq_plt=gp&amp;cq_med=pla&amp;gad_source=1&amp;gclid=Cj0KCQjw4MSzBhC8ARIsAPFOuyU4Gv0xtVVxJAH61_eTIzk_FVsYtd2fzuoxP_jNf-BBQqN3qxnBnLQaAiyNEALw_wcB" TargetMode="External"/><Relationship Id="rId70" Type="http://schemas.openxmlformats.org/officeDocument/2006/relationships/hyperlink" Target="https://produto.mercadolivre.com.br/MLB-3518164265-mesa-digitalizadora-grafica-veikk-vk430-4x3-poleg-caneta-_JM?matt_tool=18956390&amp;utm_source=google_shopping&amp;utm_medium=organic" TargetMode="External"/><Relationship Id="rId75" Type="http://schemas.openxmlformats.org/officeDocument/2006/relationships/hyperlink" Target="https://www.amazon.com.br/Microfone-Mesa-Gamer-Profissional-Jogos/dp/B08ZJ2WJPC/ref=asc_df_B08ZJ2WJPC/?tag=googleshopp00-20&amp;linkCode=df0&amp;hvadid=379799917910&amp;hvpos=&amp;hvnetw=g&amp;hvrand=16192316635808502387&amp;hvpone=&amp;hvptwo=&amp;hvqmt=&amp;hvdev=c&amp;hvdvcmdl=&amp;hvlocint=&amp;hvlocphy=9100445&amp;hvtargid=pla-1721176798305&amp;psc=1&amp;mcid=640d9b7059a93e988e8f28017242ab6b" TargetMode="External"/><Relationship Id="rId83" Type="http://schemas.openxmlformats.org/officeDocument/2006/relationships/hyperlink" Target="https://www.amazon.com.br/HyperX-Pulsefire-Haste-ultraleve-program%C3%A1veis/dp/B08NSJFNSS/ref=asc_df_B08NSJFNSS/?tag=googleshopp00-20&amp;linkCode=df0&amp;hvadid=379708004298&amp;hvpos=&amp;hvnetw=g&amp;hvrand=16953346547554021814&amp;hvpone=&amp;hvptwo=&amp;hvqmt=&amp;hvdev=c&amp;hvdvcmdl=&amp;hvlocint=&amp;hvlocphy=9100445&amp;hvtargid=pla-1094111656303&amp;psc=1&amp;mcid=6ba9eadb8a8b3ccbb5ee11e8f92278df" TargetMode="External"/><Relationship Id="rId88" Type="http://schemas.openxmlformats.org/officeDocument/2006/relationships/hyperlink" Target="https://www.pichau.com.br/mousepad-gamer-marvo-scorpion-g36-xl-920x294x3mm-g36?gad_source=4&amp;gclid=Cj0KCQjw4MSzBhC8ARIsAPFOuyVU_yf1cCS0upz8YfX8RIRU1_HLk3xn7G53va3vPIu_VPfYDCRv7fgaAkUxEALw_wcB" TargetMode="External"/><Relationship Id="rId91" Type="http://schemas.openxmlformats.org/officeDocument/2006/relationships/hyperlink" Target="https://www.amazon.com.br/Mouse-Pad-Gaming-Havit-HV-MP830/dp/B0152HPXXE/ref=asc_df_B0152HPXXE/?tag=googleshopp00-20&amp;linkCode=df0&amp;hvadid=379725868941&amp;hvpos=&amp;hvnetw=g&amp;hvrand=229294331224863663&amp;hvpone=&amp;hvptwo=&amp;hvqmt=&amp;hvdev=c&amp;hvdvcmdl=&amp;hvlocint=&amp;hvlocphy=9100445&amp;hvtargid=pla-392137745242&amp;psc=1&amp;mcid=56e9bb9b0f3d38c1af3ec2ca3fa949f5" TargetMode="External"/><Relationship Id="rId96" Type="http://schemas.openxmlformats.org/officeDocument/2006/relationships/hyperlink" Target="https://www.pichau.com.br/placa-de-video-gigabyte-radeon-rx-6600-eagle-8gb-gddr6-128-bit-gv-r66eagle-8gd?gad_source=4&amp;gclid=Cj0KCQjw4MSzBhC8ARIsAPFOuyW3npqQYraM5ASLLU8iF8s1y1wA6vxu7asthhoUkKJnaeF3R3-pdogaAj-IEALw_wcB" TargetMode="External"/><Relationship Id="rId111" Type="http://schemas.openxmlformats.org/officeDocument/2006/relationships/hyperlink" Target="https://www.terabyteshop.com.br/produto/27321/processador-amd-ryzen-5-8500g-35ghz-50ghz-turbo-6-cores-12-threads-am5-com-cooler-amd-wraith-stealth-100-100001491box?srsltid=AfmBOoqb73PbFwzms6Simd-RjdxHmg9CGxkRlE_KPtufr4ih8HQlDDSS0oI" TargetMode="External"/><Relationship Id="rId132" Type="http://schemas.openxmlformats.org/officeDocument/2006/relationships/hyperlink" Target="https://www.pichau.com.br/webcam-bluecase-full-hd-1080p-c-microfone-bweb1080p-02" TargetMode="External"/><Relationship Id="rId1" Type="http://schemas.openxmlformats.org/officeDocument/2006/relationships/hyperlink" Target="https://www.pichau.com.br/cadeira-gamer-tgt-heron-preta-tgt-hr-bl01?gad_source=1&amp;gclid=Cj0KCQjwsaqzBhDdARIsAK2gqndP_jFyGoJSknJZLovsg6Ka3zzEnOaPDUx6crK2tsFU4QOFLyF3EMoaAhdfEALw_wcB" TargetMode="External"/><Relationship Id="rId6" Type="http://schemas.openxmlformats.org/officeDocument/2006/relationships/hyperlink" Target="https://www.terabyteshop.com.br/produto/23645/cadeira-gamer-superframe-godzilla-reclinavel-preto-e-branco?gad_source=4&amp;gclid=Cj0KCQjwsaqzBhDdARIsAK2gqncASdkfYQRXVF5wAzibeebJeLM8Zf4moEqWN1L__EZKehQHQpR-gpgaAr70EALw_wcB" TargetMode="External"/><Relationship Id="rId15" Type="http://schemas.openxmlformats.org/officeDocument/2006/relationships/hyperlink" Target="https://www.pichau.com.br/fonte-mancer-thunder-600w-80-plus-bronze-mcr-thr600-bl01?gad_source=1&amp;gclid=Cj0KCQjwgJyyBhCGARIsAK8LVLP4BQQYnTT7dRQDVmE60mujhjBmjLLM7Ac5Nd-ADUnxKq4MZm2NzG8aAou3EALw_wcB" TargetMode="External"/><Relationship Id="rId23" Type="http://schemas.openxmlformats.org/officeDocument/2006/relationships/hyperlink" Target="https://www.kabum.com.br/produto/502263/kit-com-3-ventoinhas-rise-mode-x-120mm-led-argb-preto-rm-xld-01-argb?gad_source=4&amp;gclid=Cj0KCQjwsaqzBhDdARIsAK2gqneo0NL2asuhED_gfh2YcLHLWnKtDnHLdlG1wjkUYqvOcSL74OVC8TEaAhMXEALw_wcB" TargetMode="External"/><Relationship Id="rId28" Type="http://schemas.openxmlformats.org/officeDocument/2006/relationships/hyperlink" Target="https://www.magazineluiza.com.br/cooler-fan-rise-mode-laser-3-unidades-120mm-argb-preto-rm-rgb-05-5v/p/jk1fj2bd3f/in/pepc/?seller_id=kabum&amp;srsltid=AfmBOopV75AKJM2GSDfSrUcabljoChQghE2eRsKUMyEpIx6VI7XSGhHbNj4" TargetMode="External"/><Relationship Id="rId36" Type="http://schemas.openxmlformats.org/officeDocument/2006/relationships/hyperlink" Target="https://produto.mercadolivre.com.br/MLB-4788920294-disco-rigido-externo-u-hd-4tb-seagate-expansion-novo-_JM" TargetMode="External"/><Relationship Id="rId49" Type="http://schemas.openxmlformats.org/officeDocument/2006/relationships/hyperlink" Target="https://www.pichau.com.br/headset-gamer-razer-blackshark-v2-x-multiplataforma-preto-rz04-03240100-r3u1?srsltid=AfmBOorOQ_jA4dfeXKgmR84jfxhn3VlT44_gzzD1_ZtwLgqgKvWKSl3hZvE" TargetMode="External"/><Relationship Id="rId57" Type="http://schemas.openxmlformats.org/officeDocument/2006/relationships/hyperlink" Target="https://www.pichau.com.br/mesa-gamer-tgt-barrier-preto-tgt-brr-bk01?gad_source=1&amp;gclid=Cj0KCQjw4MSzBhC8ARIsAPFOuyUbb2PgCP28ymbGxY1E9IA1KamDdYU-GHw-P6hCGAEVoerj-UsoUMMaAlA0EALw_wcB" TargetMode="External"/><Relationship Id="rId106" Type="http://schemas.openxmlformats.org/officeDocument/2006/relationships/hyperlink" Target="https://www.amazon.com.br/Processador-AMD-Ryzen-5700G-Stealth/dp/B091J3NYVF/ref=asc_df_B091J3NYVF/?tag=googleshopp00-20&amp;linkCode=df0&amp;hvadid=379787213900&amp;hvpos=&amp;hvnetw=g&amp;hvrand=1700306340998786473&amp;hvpone=&amp;hvptwo=&amp;hvqmt=&amp;hvdev=c&amp;hvdvcmdl=&amp;hvlocint=&amp;hvlocphy=9100445&amp;hvtargid=pla-1396052007055&amp;psc=1&amp;mcid=c5c6aa90a43b3956af0a2b13e40d35fd" TargetMode="External"/><Relationship Id="rId114" Type="http://schemas.openxmlformats.org/officeDocument/2006/relationships/hyperlink" Target="https://pt.aliexpress.com/item/1005005802879951.html?spm=a2g0o.productlist.main.15.4885QVQmQVQmZw&amp;algo_pvid=dcccf080-3066-4ea6-96ff-649c6e19ef8f&amp;aem_p4p_detail=20240620094112296221935074120007638454&amp;algo_exp_id=dcccf080-3066-4ea6-96ff-649c6e19ef8f-7&amp;pdp_npi=4%40dis%21BRL%21439.12%21146.94%21%21%2177.28%2125.86%21%40210308a417189016723416244ecc3c%2112000034404370616%21sea%21BR%210%21AB&amp;curPageLogUid=wafu420TkKUX&amp;utparam-url=scene%3Asearch%7Cquery_from%3A&amp;search_p4p_id=20240620094112296221935074120007638454_2" TargetMode="External"/><Relationship Id="rId119" Type="http://schemas.openxmlformats.org/officeDocument/2006/relationships/hyperlink" Target="https://pt.aliexpress.com/item/1005006798933494.html?spm=a2g0o.productlist.main.43.4885QVQmQVQmZw&amp;algo_pvid=dcccf080-3066-4ea6-96ff-649c6e19ef8f&amp;algo_exp_id=dcccf080-3066-4ea6-96ff-649c6e19ef8f-21&amp;pdp_npi=4%40dis%21BRL%21467.37%21467.37%21%21%21599.42%21599.42%21%40210308a417189016723416244ecc3c%2112000038344151204%21sea%21BR%210%21AB&amp;curPageLogUid=BTosPOtGyLe8&amp;utparam-url=scene%3Asearch%7Cquery_from%3A" TargetMode="External"/><Relationship Id="rId127" Type="http://schemas.openxmlformats.org/officeDocument/2006/relationships/hyperlink" Target="https://www.pichau.com.br/webcam-streamplify-cam-1080p-60-fps-usb-preta-cam-fhd-2m60-bk" TargetMode="External"/><Relationship Id="rId10" Type="http://schemas.openxmlformats.org/officeDocument/2006/relationships/hyperlink" Target="https://www.pichau.com.br/caixa-de-som-redragon-orpheus-2-1-led-vermelho-gs550?gad_source=4&amp;gclid=Cj0KCQjwsaqzBhDdARIsAK2gqndp_K6H6z4PsNc2QtOTh0UBiXnCVbse_HqWrslIjOqfbd_cIVvCtdAaAhBQEALw_wcB" TargetMode="External"/><Relationship Id="rId31" Type="http://schemas.openxmlformats.org/officeDocument/2006/relationships/hyperlink" Target="https://www.amazon.com.br/Gabinete-Branco-GB1791-Micro-Atx-temperado/dp/B0CVS7MRGT/ref=sr_1_5?__mk_pt_BR=%C3%85M%C3%85%C5%BD%C3%95%C3%91&amp;crid=DFJP4UVB8C9S&amp;dib=eyJ2IjoiMSJ9.aQ7X72JMYDA5CMZHJnwPLAtTfy01bxXHPQzSPQyy2ttEaWLb8pDjhWKK7s1jk502rSw66YlkzV8mLKI8FYZnv0J4KwFg0z657wGlThyi2xJbUR1eSqjktJH9691bJkqJYzskCRLrYcWVvwgyl4h3hru4GInC2A2Hjzc9xg0NdQ3ihAZGVvcFXqyRomIU1jcL9Y5UX0pjzQABqFbxwsWi0FauXkUM3mvtgAyKMAQ2QFpHhLFeLGAWhSfMvmIPwGfnL-lPFYpd24MdEv5IbaBtOL9-O0dsdQT6GxjVqjJyQLM.3pxaJR2rYtImae8wv3Bo4l3J8sjU6gzgJ4-3mrvw5_M&amp;dib_tag=se&amp;keywords=Gabinete&amp;qid=1718302546&amp;sprefix=gabin%2Caps%2C350&amp;sr=8-5&amp;ufe=app_do%3Aamzn1.fos.a492fd4a-f54d-4e8d-8c31-35e0a04ce61e" TargetMode="External"/><Relationship Id="rId44" Type="http://schemas.openxmlformats.org/officeDocument/2006/relationships/hyperlink" Target="https://www.kabum.com.br/produto/115413/headset-gamer-redragon-lamia-2-rgb-7-1-40mm-suporte-incluso-h320rgb-1?gad_source=1&amp;gclid=Cj0KCQjw4MSzBhC8ARIsAPFOuyV1so7Ipitg5eT5zYmvDG0BGwNejlz84cSe8Y9FwxtWy6ZtkBqiYhUaAuayEALw_wcB" TargetMode="External"/><Relationship Id="rId52" Type="http://schemas.openxmlformats.org/officeDocument/2006/relationships/hyperlink" Target="https://www.amazon.com.br/HX432C16FB3K216-Mem%C3%B3rias-HyperX-3200Mhz-desktop/dp/B07WD5VKVL/ref=asc_df_B07WD5VKVL/?tag=googleshopp00-20&amp;linkCode=df0&amp;hvadid=379708106313&amp;hvpos=&amp;hvnetw=g&amp;hvrand=659664638851869031&amp;hvpone=&amp;hvptwo=&amp;hvqmt=&amp;hvdev=c&amp;hvdvcmdl=&amp;hvlocint=&amp;hvlocphy=9100445&amp;hvtargid=pla-1011885522952&amp;psc=1&amp;mcid=f1f348f040923e9b9c87609b0ee0feb8" TargetMode="External"/><Relationship Id="rId60" Type="http://schemas.openxmlformats.org/officeDocument/2006/relationships/hyperlink" Target="https://www.amazon.com.br/Mesa-Gamer-Escrivaninha-Gelius-M%C3%B3veis/dp/B0C7RJ3674/ref=asc_df_B0C7RJ3674/?tag=googleshopp00-20&amp;linkCode=df0&amp;hvadid=646911211837&amp;hvpos=&amp;hvnetw=g&amp;hvrand=11373954415576501948&amp;hvpone=&amp;hvptwo=&amp;hvqmt=&amp;hvdev=c&amp;hvdvcmdl=&amp;hvlocint=&amp;hvlocphy=9100445&amp;hvtargid=pla-2268219040277&amp;psc=1&amp;mcid=b90f78cc327137bb9eb1accac378642c" TargetMode="External"/><Relationship Id="rId65" Type="http://schemas.openxmlformats.org/officeDocument/2006/relationships/hyperlink" Target="https://produto.mercadolivre.com.br/MLB-4608846326-mesa-digitalizadora-5080-lpl-tomate-ccaneta-8192-sensi-_JM?matt_tool=76735400&amp;matt_word=&amp;matt_source=google&amp;matt_campaign_id=14303413823&amp;matt_ad_group_id=125956126719&amp;matt_match_type=&amp;matt_network=g&amp;matt_device=c&amp;matt_creative=543112166789&amp;matt_keyword=&amp;matt_ad_position=&amp;matt_ad_type=pla&amp;matt_merchant_id=417648057&amp;matt_product_id=MLB4608846326&amp;matt_product_partition_id=2270299237635&amp;matt_target_id=pla-2270299237635&amp;cq_src=google_ads&amp;cq_cmp=14303413823&amp;cq_net=g&amp;cq_plt=gp&amp;cq_med=pla&amp;gad_source=4&amp;gclid=Cj0KCQjw4MSzBhC8ARIsAPFOuyVfcDG7jFOODjMMU8eqzPzW9FtvtcUlYDWJ0JhI-B1ZvMtRd76OyxYaAo2kEALw_wcB" TargetMode="External"/><Relationship Id="rId73" Type="http://schemas.openxmlformats.org/officeDocument/2006/relationships/hyperlink" Target="https://www.amazon.com.br/Microfone-HyperX-QuadCast-Preto-Vermelho/dp/B07NZZZ746/ref=asc_df_B07NZZZ746/?tag=googleshopp00-20&amp;linkCode=df0&amp;hvadid=379816334777&amp;hvpos=&amp;hvnetw=g&amp;hvrand=16192316635808502387&amp;hvpone=&amp;hvptwo=&amp;hvqmt=&amp;hvdev=c&amp;hvdvcmdl=&amp;hvlocint=&amp;hvlocphy=9100445&amp;hvtargid=pla-668583786414&amp;psc=1&amp;mcid=8d9c689ac96f3f7aba2763fbc0228988" TargetMode="External"/><Relationship Id="rId78" Type="http://schemas.openxmlformats.org/officeDocument/2006/relationships/hyperlink" Target="https://www.kabum.com.br/produto/135525/mouse-gamer-redragon-storm-rgb-12400dpi-7-botoes-preto-m808-rgb?gad_source=4&amp;gclid=Cj0KCQjw4MSzBhC8ARIsAPFOuyWlWOBxP1WEdS7lgJvCMHWLMYSeUL893tpSQ4lGLEyk8hIXXYaxoj8aAiygEALw_wcB" TargetMode="External"/><Relationship Id="rId81" Type="http://schemas.openxmlformats.org/officeDocument/2006/relationships/hyperlink" Target="https://www.amazon.com.br/DeLUX-M800Ultra-26000DPI-Resist%C3%AAncia-600mAh-Preto/dp/B0CJC26GQ9/ref=asc_df_B0CJC26GQ9/?tag=googleshopp00-20&amp;linkCode=df0&amp;hvadid=647504170016&amp;hvpos=&amp;hvnetw=g&amp;hvrand=16953346547554021814&amp;hvpone=&amp;hvptwo=&amp;hvqmt=&amp;hvdev=c&amp;hvdvcmdl=&amp;hvlocint=&amp;hvlocphy=9100445&amp;hvtargid=pla-2265897135518&amp;psc=1&amp;mcid=680ab5c80c6b3156a2a21adbd9ef0647" TargetMode="External"/><Relationship Id="rId86" Type="http://schemas.openxmlformats.org/officeDocument/2006/relationships/hyperlink" Target="https://www.amazon.com.br/UtechSmart-estendido-ilumina%C3%A7%C3%A3o-teclado-computador/dp/B07PQDLF51/ref=asc_df_B07PQDLF51/?tag=googleshopp00-20&amp;linkCode=df0&amp;hvadid=379707456874&amp;hvpos=&amp;hvnetw=g&amp;hvrand=14129186534020307197&amp;hvpone=&amp;hvptwo=&amp;hvqmt=&amp;hvdev=c&amp;hvdvcmdl=&amp;hvlocint=&amp;hvlocphy=9100445&amp;hvtargid=pla-745875616017&amp;psc=1&amp;mcid=a095dec71f4e3cdaa23c38257d548843" TargetMode="External"/><Relationship Id="rId94" Type="http://schemas.openxmlformats.org/officeDocument/2006/relationships/hyperlink" Target="https://www.pichau.com.br/placa-de-video-msi-geforce-gtx-1650-ventus-xs-ocv3-4gb-gddr6-128-bit-912-v812-003?gad_source=4&amp;gclid=Cj0KCQjw4MSzBhC8ARIsAPFOuyUFnngjuGexOopK6Mg2I1in_RcoI31eLYV0o7bYy-gH0KLwGv2JZjQaAhdcEALw_wcB" TargetMode="External"/><Relationship Id="rId99" Type="http://schemas.openxmlformats.org/officeDocument/2006/relationships/hyperlink" Target="https://www.amazon.com.br/PLACA-GIGABYTE-B550M-AORUS-ELITE/dp/B08BN8VD23/ref=asc_df_B08BN8VD23/?tag=googleshopp00-20&amp;linkCode=df0&amp;hvadid=379720664788&amp;hvpos=&amp;hvnetw=g&amp;hvrand=11564893395818025444&amp;hvpone=&amp;hvptwo=&amp;hvqmt=&amp;hvdev=c&amp;hvdvcmdl=&amp;hvlocint=&amp;hvlocphy=9100445&amp;hvtargid=pla-944675107569&amp;psc=1&amp;mcid=a0c1ed3044c8333d98fe2652051560df" TargetMode="External"/><Relationship Id="rId101" Type="http://schemas.openxmlformats.org/officeDocument/2006/relationships/hyperlink" Target="https://www.amazon.com.br/Placa-M%C3%A3e-H310Cm-Hg4-1151-8%C2%AA-ASRock-30136/dp/B07WLSX6BD?source=ps-sl-shoppingads-lpcontext&amp;ref_=fplfs&amp;psc=1&amp;smid=A328H4KMUWIGAB" TargetMode="External"/><Relationship Id="rId122" Type="http://schemas.openxmlformats.org/officeDocument/2006/relationships/hyperlink" Target="https://pt.aliexpress.com/item/1005006727692431.html?spm=a2g0o.productlist.main.7.2c326d12gIA255&amp;algo_pvid=14d2674a-2586-4b66-ab77-6d82b597a8b1&amp;aem_p4p_detail=20240620095159692935044480000007906958&amp;algo_exp_id=14d2674a-2586-4b66-ab77-6d82b597a8b1-3&amp;pdp_npi=4%40dis%21BRL%21498.10%21169.27%21%21%2187.66%2129.79%21%40210318c317189023189807780e01ce%2112000038107496675%21sea%21BR%210%21AB&amp;curPageLogUid=jzKLYaOP9um0&amp;utparam-url=scene%3Asearch%7Cquery_from%3A&amp;search_p4p_id=20240620095159692935044480000007906958_1" TargetMode="External"/><Relationship Id="rId130" Type="http://schemas.openxmlformats.org/officeDocument/2006/relationships/hyperlink" Target="https://www.pichau.com.br/webcam-trust-tyro-full-hd-1080p-preto-t23637" TargetMode="External"/><Relationship Id="rId135" Type="http://schemas.openxmlformats.org/officeDocument/2006/relationships/drawing" Target="../drawings/drawing1.xml"/><Relationship Id="rId4" Type="http://schemas.openxmlformats.org/officeDocument/2006/relationships/hyperlink" Target="https://www.terabyteshop.com.br/produto/25766/cadeira-gamer-ninja-genin-preta-e-branca?srsltid=AfmBOoqbWYqV7ZehjoDZEnB9r4o_29VOuYv76NIRyX9-ozEq6mUIYAjVQ3o" TargetMode="External"/><Relationship Id="rId9" Type="http://schemas.openxmlformats.org/officeDocument/2006/relationships/hyperlink" Target="https://www.kabum.com.br/produto/497779/soundbar-gamer-kbm-gaming-sb110-4w-rgb-kgsb110pt?gad_source=4&amp;gclid=Cj0KCQjwsaqzBhDdARIsAK2gqne1FH_1JwLjJ2WhxGNjcJEoia6Dxdh5-_v59_5lQdtlFd2eah5uoV0aAnGZEALw_wcB" TargetMode="External"/><Relationship Id="rId13" Type="http://schemas.openxmlformats.org/officeDocument/2006/relationships/hyperlink" Target="https://www.pichau.com.br/caixa-de-som-redragon-andante-rgb-10w-rms-bluetooth-p2-preta-gs812?gad_source=4&amp;gclid=Cj0KCQjwsaqzBhDdARIsAK2gqncdXkf88qdjJ0o7xWXn6AMrTNFZZnsiNnvMHHce8StXFRS3gjw8gcEaAkfzEALw_wcB" TargetMode="External"/><Relationship Id="rId18" Type="http://schemas.openxmlformats.org/officeDocument/2006/relationships/hyperlink" Target="https://www.pichau.com.br/fonte-pcyes-450w-eletro-v2-80plus-elecv2pto450w-28741" TargetMode="External"/><Relationship Id="rId39" Type="http://schemas.openxmlformats.org/officeDocument/2006/relationships/hyperlink" Target="https://www.kabum.com.br/produto/100916/hd-seagate-2tb-barracuda-3-5-sata-st2000dm008?gad_source=1&amp;gclid=Cj0KCQjw4MSzBhC8ARIsAPFOuyVEgm5sdOaW99MzOGOOQwpg2cm03DPhc4MCQca1NiMBqwitBneDOMkaAkP3EALw_wcB" TargetMode="External"/><Relationship Id="rId109" Type="http://schemas.openxmlformats.org/officeDocument/2006/relationships/hyperlink" Target="https://www.gigantec.com.br/processador-intel-core-i9-14900k-14-geracao-24-cores-32-threads-lga-1700-bx8071514900k.html?gad_source=4&amp;gclid=Cj0KCQjw4MSzBhC8ARIsAPFOuyXdC3xY3-ehOxjDIsPV0ycnjGSHTmNTtTbbmH-WJsfaFFhu9v8_gBYaAm_HEALw_wcB" TargetMode="External"/><Relationship Id="rId34" Type="http://schemas.openxmlformats.org/officeDocument/2006/relationships/hyperlink" Target="https://www.kabum.com.br/produto/130989/gabinete-redragon-grapple-branco-gc-607wh?gad_source=4&amp;gclid=Cj0KCQjwvb-zBhCmARIsAAfUI2uBbbQB9YTNXRL5-0QkYoom7R2HvofdRe-O6cgY-eTnZib3JWNn5GcaAj78EALw_wcB" TargetMode="External"/><Relationship Id="rId50" Type="http://schemas.openxmlformats.org/officeDocument/2006/relationships/hyperlink" Target="https://loja.fortrek.com.br/headset-gamer-p2-usb-rgb-vickers-preto-fortrek?srsltid=AfmBOorP83NqxvgpLQjGJIyQRCYCEyPNiSxJg5krDAk9TpwPwuSvs1J11AE" TargetMode="External"/><Relationship Id="rId55" Type="http://schemas.openxmlformats.org/officeDocument/2006/relationships/hyperlink" Target="https://www.terabyteshop.com.br/produto/19314/memoria-kingston-fury-beast-8gb-3200mhz-ddr4-black-kf432c16bb8?srsltid=AfmBOorR72-IJOaLEwXCwR8hwxCwaokjdS94OsGBpB3sz-bDxdSd3OxMpCg" TargetMode="External"/><Relationship Id="rId76" Type="http://schemas.openxmlformats.org/officeDocument/2006/relationships/hyperlink" Target="https://www.pichau.com.br/microfone-hyperx-quadcast-s-rgb-usb-branco-519p0aa?srsltid=AfmBOorfj4sTpA6GJjfsH7yf_3zgxcggucdrjV-VetyzZrmagBbwdu-NIjk" TargetMode="External"/><Relationship Id="rId97" Type="http://schemas.openxmlformats.org/officeDocument/2006/relationships/hyperlink" Target="https://www.kabum.com.br/produto/534706/placa-de-video-rtx-3050-stormix-palit-nvidia-geforce-6gb-gddr6-dlss-ray-tracing-adaptive-sync-ne63050018je-1070f?gad_source=4&amp;gclid=Cj0KCQjw4MSzBhC8ARIsAPFOuyW4Zbp6tYCfx8uka5skKI8EoU8Gi9AVTwg5lWeHr00UNO1MuzvFMY0aAu2dEALw_wcB" TargetMode="External"/><Relationship Id="rId104" Type="http://schemas.openxmlformats.org/officeDocument/2006/relationships/hyperlink" Target="https://www.pichau.com.br/placa-mae-mancer-a78-fx-ddr3-socket-am3-m-atx-chipset-amd-a78-mcr-a78fx-01?srsltid=AfmBOooX-2cRp71FsCDCmaq1ciT6PK9GHUG-dVW8iACZJJIebI8yNhfHamY" TargetMode="External"/><Relationship Id="rId120" Type="http://schemas.openxmlformats.org/officeDocument/2006/relationships/hyperlink" Target="https://pt.aliexpress.com/item/1005006627167446.html?spm=a2g0o.productlist.main.1.2c326d12gIA255&amp;algo_pvid=14d2674a-2586-4b66-ab77-6d82b597a8b1&amp;algo_exp_id=14d2674a-2586-4b66-ab77-6d82b597a8b1-0&amp;pdp_npi=4%40dis%21BRL%2178.00%2151.48%21%21%2178.00%2151.48%21%40210318c317189023189807780e01ce%2112000037863516233%21sea%21BR%210%21AB&amp;curPageLogUid=negihnyEIJOp&amp;utparam-url=scene%3Asearch%7Cquery_from%3A" TargetMode="External"/><Relationship Id="rId125" Type="http://schemas.openxmlformats.org/officeDocument/2006/relationships/hyperlink" Target="https://www.pichau.com.br/teclado-gamer-motospeed-k70l-rainbow-membrana-fmstc0022pto" TargetMode="External"/><Relationship Id="rId7" Type="http://schemas.openxmlformats.org/officeDocument/2006/relationships/hyperlink" Target="https://www.prizi.com.br/produtos/cadeira-gamer-prizi-canvas-preta1/?variant=763555858&amp;pf=mc" TargetMode="External"/><Relationship Id="rId71" Type="http://schemas.openxmlformats.org/officeDocument/2006/relationships/hyperlink" Target="https://www.kabum.com.br/produto/109222/microfone-streamer-gamer-redragon-gm100-podcast-preto-gm100?gad_source=4&amp;gclid=Cj0KCQjw4MSzBhC8ARIsAPFOuyXjMvWwwNGQEUEH1MlLKalNB_au-fvUxgjuEbYVxN-fsEnL0GfJdEEaAvZMEALw_wcB" TargetMode="External"/><Relationship Id="rId92" Type="http://schemas.openxmlformats.org/officeDocument/2006/relationships/hyperlink" Target="https://www.pichau.com.br/placa-de-video-gigabyte-radeon-rx-7600-gaming-oc-8gb-gddr6-128-bit-gv-r76gaming-oc-8gd?gad_source=4&amp;gclid=Cj0KCQjw4MSzBhC8ARIsAPFOuyXsR8fc0owNBynRe44JzwBZte0_u2lzPIsuMsfWRZ8RxHXwX0MrOEwaAo4yEALw_wcB" TargetMode="External"/><Relationship Id="rId2" Type="http://schemas.openxmlformats.org/officeDocument/2006/relationships/hyperlink" Target="https://www.kabum.com.br/produto/477693/cadeira-gamer-kbm-gaming-cg200-preto-e-branco-pistao-classe-3-almofadas-cabeca-e-lombar-kgcg200ptbr?gad_source=1&amp;gclid=Cj0KCQjwsaqzBhDdARIsAK2gqncjarBZY6fh9vXiCe3RsWmjhWh9SVSpUR3fT9Tbl9rL9ka9DJQR7T4aAqggEALw_wcB" TargetMode="External"/><Relationship Id="rId29" Type="http://schemas.openxmlformats.org/officeDocument/2006/relationships/hyperlink" Target="https://www.amazon.com.br/Gabinete-Gamer-C2-2901-Lateral-Acr%C3%ADlico/dp/B0CGNSGGK4/ref=sr_1_1_sspa?__mk_pt_BR=%C3%85M%C3%85%C5%BD%C3%95%C3%91&amp;crid=DFJP4UVB8C9S&amp;dib=eyJ2IjoiMSJ9.aQ7X72JMYDA5CMZHJnwPLAtTfy01bxXHPQzSPQyy2ttEaWLb8pDjhWKK7s1jk502rSw66YlkzV8mLKI8FYZnv0J4KwFg0z657wGlThyi2xJbUR1eSqjktJH9691bJkqJYzskCRLrYcWVvwgyl4h3hru4GInC2A2Hjzc9xg0NdQ3ihAZGVvcFXqyRomIU1jcL9Y5UX0pjzQABqFbxwsWi0FauXkUM3mvtgAyKMAQ2QFpHhLFeLGAWhSfMvmIPwGfnL-lPFYpd24MdEv5IbaBtOL9-O0dsdQT6GxjVqjJyQLM.3pxaJR2rYtImae8wv3Bo4l3J8sjU6gzgJ4-3mrvw5_M&amp;dib_tag=se&amp;keywords=Gabinete&amp;qid=1718302492&amp;sprefix=gabin%2Caps%2C350&amp;sr=8-1-spons&amp;ufe=app_do%3Aamzn1.fos.a492fd4a-f54d-4e8d-8c31-35e0a04ce61e&amp;sp_csd=d2lkZ2V0TmFtZT1zcF9hdGY&amp;psc=1" TargetMode="External"/><Relationship Id="rId24" Type="http://schemas.openxmlformats.org/officeDocument/2006/relationships/hyperlink" Target="https://www.pichau.com.br/kit-ventoinha-tgt-mirage-5x120mm-led-rgb-tgt-mrg120-rgb5?gad_source=4&amp;gclid=Cj0KCQjwsaqzBhDdARIsAK2gqndT049vyBCgxH_N7eFDeqrZgHN-_c4869piY21JSs6oK-u9V6va890aAnTAEALw_wcB" TargetMode="External"/><Relationship Id="rId40" Type="http://schemas.openxmlformats.org/officeDocument/2006/relationships/hyperlink" Target="https://www.mercadolivre.com.br/hd-500gb-seagate-barracuda-7200rpm-sata-pc/p/MLB24552603?item_id=MLB3735035093&amp;from=gshop&amp;matt_tool=83149186&amp;matt_word=&amp;matt_source=google&amp;matt_campaign_id=14303413646&amp;matt_ad_group_id=125984297717&amp;matt_match_type=&amp;matt_network=g&amp;matt_device=c&amp;matt_creative=539354956536&amp;matt_keyword=&amp;matt_ad_position=&amp;matt_ad_type=pla&amp;matt_merchant_id=735098660&amp;matt_product_id=MLB24552603-product&amp;matt_product_partition_id=2268623294839&amp;matt_target_id=pla-2268623294839&amp;cq_src=google_ads&amp;cq_cmp=14303413646&amp;cq_net=g&amp;cq_plt=gp&amp;cq_med=pla&amp;gad_source=1&amp;gclid=Cj0KCQjw4MSzBhC8ARIsAPFOuyVPgbRKy5booNBr6NHp29w8t7J7LWtL2TLRu8tOwAG6R1giWFTGt5gaAshmEALw_wcB" TargetMode="External"/><Relationship Id="rId45" Type="http://schemas.openxmlformats.org/officeDocument/2006/relationships/hyperlink" Target="https://www.kabum.com.br/produto/227818/headset-gamer-redragon-zeus-x-chroma-mk-ii-rgb-surround-7-1-usb-drivers-53mm-preto-vermelho-h510-rgb?gad_source=1&amp;gclid=Cj0KCQjw4MSzBhC8ARIsAPFOuyX0Bi4ulETthI46RX3VwnKmc9FL9UM0PCjcEq8a-Isl2fuj3kCyl7caAqc6EALw_wcB" TargetMode="External"/><Relationship Id="rId66" Type="http://schemas.openxmlformats.org/officeDocument/2006/relationships/hyperlink" Target="https://www.kabum.com.br/produto/192028/mesa-digitalizadora-huion-kamvas-13-plus-p-full-hd-ips-ultrafino-11-8mm-usb-c-caneta-pentech-3-0-roxo-gs1331-p?gad_source=4&amp;gclid=Cj0KCQjw4MSzBhC8ARIsAPFOuyWB12qmNGhhShEjFhn2HYsRzaxwVFK2HaeO-O5utVQ2D1Tz0qUPlFIaAtnXEALw_wcB" TargetMode="External"/><Relationship Id="rId87" Type="http://schemas.openxmlformats.org/officeDocument/2006/relationships/hyperlink" Target="https://www.amazon.com.br/Mouse-Drag%C3%A3o-Chin%C3%AAs-Grande-costurado/dp/B0CTCY8DR3/ref=asc_df_B0CTCY8DR3/?tag=googleshopp00-20&amp;linkCode=df0&amp;hvadid=647399698239&amp;hvpos=&amp;hvnetw=g&amp;hvrand=14129186534020307197&amp;hvpone=&amp;hvptwo=&amp;hvqmt=&amp;hvdev=c&amp;hvdvcmdl=&amp;hvlocint=&amp;hvlocphy=9100445&amp;hvtargid=pla-2296708078937&amp;mcid=91f5e8b377e034829b6ac2233385aaa2&amp;th=1" TargetMode="External"/><Relationship Id="rId110" Type="http://schemas.openxmlformats.org/officeDocument/2006/relationships/hyperlink" Target="https://www.amazon.com.br/AMD-Ryzen-4500-desbloqueado-refrigerador/dp/B09VCJN7HZ?source=ps-sl-shoppingads-lpcontext&amp;ref_=fplfs&amp;psc=1&amp;smid=A1ZZFT5FULY4LN" TargetMode="External"/><Relationship Id="rId115" Type="http://schemas.openxmlformats.org/officeDocument/2006/relationships/hyperlink" Target="https://pt.aliexpress.com/item/1005005802997075.html?spm=a2g0o.productlist.main.23.4885QVQmQVQmZw&amp;algo_pvid=dcccf080-3066-4ea6-96ff-649c6e19ef8f&amp;aem_p4p_detail=20240620094112296221935074120007638454&amp;algo_exp_id=dcccf080-3066-4ea6-96ff-649c6e19ef8f-11&amp;pdp_npi=4%40dis%21BRL%21377.75%21122.44%21%21%2166.48%2121.55%21%40210308a417189016723416244ecc3c%2112000034404482112%21sea%21BR%210%21AB&amp;curPageLogUid=ELoNI08acQvZ&amp;utparam-url=scene%3Asearch%7Cquery_from%3A&amp;search_p4p_id=20240620094112296221935074120007638454_3" TargetMode="External"/><Relationship Id="rId131" Type="http://schemas.openxmlformats.org/officeDocument/2006/relationships/hyperlink" Target="https://www.pichau.com.br/webcam-trust-taxon-qhd-2k-usb-preta-t24228" TargetMode="External"/><Relationship Id="rId136" Type="http://schemas.openxmlformats.org/officeDocument/2006/relationships/table" Target="../tables/table1.xml"/><Relationship Id="rId61" Type="http://schemas.openxmlformats.org/officeDocument/2006/relationships/hyperlink" Target="https://www.kabum.com.br/produto/472370/mesa-gamer-kbm-gaming-dg150-preto-com-tampo-resistente-a-umidade-suporte-para-headset-e-copo-base-em-z-kgdg150pt?gad_source=1&amp;gclid=Cj0KCQjw4MSzBhC8ARIsAPFOuyWoMU1Ha2j59DETBZn5NkzGt3mbbXMa6rxkdoFPUY6SI8PyawKwHKoaAnnoEALw_wcB" TargetMode="External"/><Relationship Id="rId82" Type="http://schemas.openxmlformats.org/officeDocument/2006/relationships/hyperlink" Target="https://www.amazon.com.br/Logitech-LIGHTSYNC-Efeito-Bot%C3%B5es-Program%C3%A1veis/dp/B087CT8PWY/ref=asc_df_B087CT8PWY/?tag=googleshopp00-20&amp;linkCode=df0&amp;hvadid=379708004298&amp;hvpos=&amp;hvnetw=g&amp;hvrand=16953346547554021814&amp;hvpone=&amp;hvptwo=&amp;hvqmt=&amp;hvdev=c&amp;hvdvcmdl=&amp;hvlocint=&amp;hvlocphy=9100445&amp;hvtargid=pla-986255958677&amp;psc=1&amp;mcid=0ff7a2001aaa3f2487523e11227b7605" TargetMode="External"/><Relationship Id="rId19" Type="http://schemas.openxmlformats.org/officeDocument/2006/relationships/hyperlink" Target="https://www.pichau.com.br/fonte-pcyes-electro-750w-v2-80plus-bronze-elecv2pto750w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mundoeducacao.uol.com.br/geografia/belem.htm" TargetMode="External"/><Relationship Id="rId2" Type="http://schemas.openxmlformats.org/officeDocument/2006/relationships/hyperlink" Target="https://mundoeducacao.uol.com.br/geografia/salvador.htm" TargetMode="External"/><Relationship Id="rId1" Type="http://schemas.openxmlformats.org/officeDocument/2006/relationships/hyperlink" Target="https://mundoeducacao.uol.com.br/geografia/florianopolis.htm" TargetMode="External"/><Relationship Id="rId4" Type="http://schemas.openxmlformats.org/officeDocument/2006/relationships/hyperlink" Target="https://mundoeducacao.uol.com.br/geografia/fortaleza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135"/>
  <sheetViews>
    <sheetView tabSelected="1" topLeftCell="J2" zoomScale="80" zoomScaleNormal="80" workbookViewId="0">
      <selection activeCell="R5" sqref="R5"/>
    </sheetView>
  </sheetViews>
  <sheetFormatPr defaultRowHeight="15" customHeight="1"/>
  <cols>
    <col min="1" max="1" width="15.85546875" customWidth="1"/>
    <col min="2" max="2" width="19.42578125" style="21" customWidth="1"/>
    <col min="3" max="3" width="17.5703125" style="27" customWidth="1"/>
    <col min="4" max="4" width="66.85546875" bestFit="1" customWidth="1"/>
    <col min="5" max="5" width="16" style="5" customWidth="1"/>
    <col min="6" max="6" width="22.140625" style="11" customWidth="1"/>
    <col min="7" max="7" width="23" style="21" bestFit="1" customWidth="1"/>
    <col min="8" max="8" width="18.85546875" customWidth="1"/>
    <col min="9" max="9" width="17.28515625" customWidth="1"/>
    <col min="10" max="10" width="26.140625" bestFit="1" customWidth="1"/>
    <col min="11" max="11" width="13.28515625" bestFit="1" customWidth="1"/>
    <col min="12" max="12" width="56.85546875" bestFit="1" customWidth="1"/>
    <col min="13" max="13" width="21.28515625" style="47" bestFit="1" customWidth="1"/>
    <col min="14" max="14" width="20.85546875" style="46" bestFit="1" customWidth="1"/>
    <col min="15" max="15" width="30" bestFit="1" customWidth="1"/>
    <col min="16" max="16" width="11.5703125" bestFit="1" customWidth="1"/>
    <col min="17" max="17" width="30.7109375" bestFit="1" customWidth="1"/>
    <col min="18" max="18" width="31.140625" bestFit="1" customWidth="1"/>
    <col min="19" max="19" width="30.5703125" bestFit="1" customWidth="1"/>
    <col min="20" max="20" width="12.5703125" bestFit="1" customWidth="1"/>
  </cols>
  <sheetData>
    <row r="1" spans="1:19" ht="59.25" customHeight="1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1:19" ht="69" customHeight="1">
      <c r="A2" s="36" t="s">
        <v>1</v>
      </c>
      <c r="B2" s="15" t="s">
        <v>2</v>
      </c>
      <c r="C2" s="16" t="s">
        <v>3</v>
      </c>
      <c r="D2" s="16" t="s">
        <v>4</v>
      </c>
      <c r="E2" s="17" t="s">
        <v>5</v>
      </c>
      <c r="F2" s="18" t="s">
        <v>6</v>
      </c>
      <c r="G2" s="16" t="s">
        <v>7</v>
      </c>
      <c r="H2" s="16" t="s">
        <v>8</v>
      </c>
      <c r="I2" s="19" t="s">
        <v>9</v>
      </c>
      <c r="J2" s="19" t="s">
        <v>10</v>
      </c>
      <c r="K2" s="69"/>
      <c r="L2" s="69"/>
      <c r="M2" s="70"/>
      <c r="N2" s="62" t="s">
        <v>11</v>
      </c>
      <c r="O2" s="63"/>
      <c r="P2" s="64"/>
    </row>
    <row r="3" spans="1:19" ht="31.5">
      <c r="A3" s="37" t="str">
        <f>COUNTIF(C$3:C3,C3)&amp;C3</f>
        <v>1Cadeira</v>
      </c>
      <c r="B3" s="22">
        <v>1</v>
      </c>
      <c r="C3" s="38" t="s">
        <v>13</v>
      </c>
      <c r="D3" s="1" t="s">
        <v>14</v>
      </c>
      <c r="E3" s="3">
        <v>379.99</v>
      </c>
      <c r="F3" s="10">
        <f>IF(AND(E3&gt;=20,E3&lt;=90),5%,IF(AND(E3&gt;90,E3&lt;=130),8%,IF(AND(E3&gt;130,E3&lt;=170),14%,IF(AND(E3&gt;170,E3&lt;=230),18%,IF(AND(E3&gt;230,E3&lt;=360),20%,IF(AND(E3&gt;360,E3&lt;=460),24%,IF(AND(E3&gt;460,E3&lt;=520),28%,IF(AND(E3&gt;520,E3&lt;=600),30%,IF(AND(E3&gt;600,E3&lt;=710),32%,IF(AND(E3&gt;710,E3&lt;=900),38%,IF(AND(E3&gt;900),"40%","-")))))))))))</f>
        <v>0.24</v>
      </c>
      <c r="G3" s="20" t="str">
        <f t="shared" ref="G3:G34" si="0">IF(F3=5%,"2X",IF(F3=8%,"3X",IF(F3=14%,"4X",IF(F3=18%,"5X",IF(F3=20%,"6X",IF(F3=24%,"7X",IF(F3=28%,"8X",IF(F3=30%,"9X",IF(F3=32%,"10X",IF(F3=34%,"11X",IF(F3=38%,"12X","-")))))))))))</f>
        <v>7X</v>
      </c>
      <c r="H3" s="1" t="s">
        <v>15</v>
      </c>
      <c r="I3" s="12" t="s">
        <v>16</v>
      </c>
      <c r="J3" s="32" t="s">
        <v>13</v>
      </c>
      <c r="K3" s="41"/>
      <c r="L3" s="60" t="s">
        <v>17</v>
      </c>
      <c r="M3" s="61"/>
      <c r="N3" s="65" t="s">
        <v>30</v>
      </c>
      <c r="O3" s="66"/>
      <c r="P3" s="67"/>
    </row>
    <row r="4" spans="1:19">
      <c r="A4" s="37" t="str">
        <f>COUNTIF(C$3:C4,C4)&amp;C4</f>
        <v>2Cadeira</v>
      </c>
      <c r="B4" s="22">
        <v>2</v>
      </c>
      <c r="C4" s="38" t="s">
        <v>13</v>
      </c>
      <c r="D4" s="1" t="s">
        <v>20</v>
      </c>
      <c r="E4" s="3">
        <v>479.9</v>
      </c>
      <c r="F4" s="10">
        <f t="shared" ref="F4:F67" si="1">IF(AND(E4&gt;=20,E4&lt;=90),5%,IF(AND(E4&gt;90,E4&lt;=130),8%,IF(AND(E4&gt;130,E4&lt;=170),14%,IF(AND(E4&gt;170,E4&lt;=230),18%,IF(AND(E4&gt;230,E4&lt;=360),20%,IF(AND(E4&gt;360,E4&lt;=460),24%,IF(AND(E4&gt;460,E4&lt;=520),28%,IF(AND(E4&gt;520,E4&lt;=600),30%,IF(AND(E4&gt;600,E4&lt;=710),32%,IF(AND(E4&gt;710,E4&lt;=900),38%,IF(AND(E4&gt;900),"40%","-")))))))))))</f>
        <v>0.28000000000000003</v>
      </c>
      <c r="G4" s="20" t="str">
        <f t="shared" si="0"/>
        <v>8X</v>
      </c>
      <c r="H4" s="1" t="s">
        <v>21</v>
      </c>
      <c r="I4" s="12" t="s">
        <v>16</v>
      </c>
      <c r="J4" s="43" t="s">
        <v>22</v>
      </c>
      <c r="K4" s="49" t="s">
        <v>23</v>
      </c>
      <c r="L4" s="49" t="s">
        <v>4</v>
      </c>
      <c r="M4" s="50" t="s">
        <v>5</v>
      </c>
      <c r="N4" s="51" t="s">
        <v>24</v>
      </c>
      <c r="O4" s="49" t="s">
        <v>25</v>
      </c>
      <c r="P4" s="75" t="s">
        <v>26</v>
      </c>
      <c r="Q4" s="77" t="s">
        <v>293</v>
      </c>
      <c r="R4" s="77" t="s">
        <v>294</v>
      </c>
      <c r="S4" s="79"/>
    </row>
    <row r="5" spans="1:19" ht="21" customHeight="1">
      <c r="A5" s="37" t="str">
        <f>COUNTIF(C$3:C5,C5)&amp;C5</f>
        <v>3Cadeira</v>
      </c>
      <c r="B5" s="22">
        <v>3</v>
      </c>
      <c r="C5" s="38" t="s">
        <v>13</v>
      </c>
      <c r="D5" s="1" t="s">
        <v>28</v>
      </c>
      <c r="E5" s="3">
        <v>768.02</v>
      </c>
      <c r="F5" s="10">
        <f t="shared" si="1"/>
        <v>0.38</v>
      </c>
      <c r="G5" s="20" t="str">
        <f t="shared" si="0"/>
        <v>12X</v>
      </c>
      <c r="H5" s="1" t="s">
        <v>29</v>
      </c>
      <c r="I5" s="12" t="s">
        <v>16</v>
      </c>
      <c r="J5" s="42" t="s">
        <v>30</v>
      </c>
      <c r="K5" s="20">
        <v>1</v>
      </c>
      <c r="L5" s="20" t="str">
        <f t="shared" ref="L5:L11" si="2">VLOOKUP(K5&amp;$N$3,$A$3:$I$135,4,FALSE)</f>
        <v>FONTE MANCER THUNDER 600W 80 PLUS BRONZE</v>
      </c>
      <c r="M5" s="48">
        <f>VLOOKUP(K5&amp;$N$3,$A$3:$I$135,5,FALSE)</f>
        <v>289.99</v>
      </c>
      <c r="N5" s="45">
        <f>VLOOKUP(K5&amp;$N$3,$A$3:$I$135,6,FALSE)</f>
        <v>0.2</v>
      </c>
      <c r="O5" s="44" t="str">
        <f>VLOOKUP(K5&amp;$N$3,$A$3:$I$135,7,FALSE)</f>
        <v>6X</v>
      </c>
      <c r="P5" s="76" t="str">
        <f>VLOOKUP(K5&amp;$N$3,$A$3:$I$135,8,FALSE)</f>
        <v>Mancer</v>
      </c>
      <c r="Q5" s="78">
        <f>M5+$M$15</f>
        <v>359.99</v>
      </c>
      <c r="R5" s="78">
        <f>Q5-M5*N5</f>
        <v>301.99200000000002</v>
      </c>
      <c r="S5" s="79"/>
    </row>
    <row r="6" spans="1:19" ht="36" customHeight="1">
      <c r="A6" s="37" t="str">
        <f>COUNTIF(C$3:C6,C6)&amp;C6</f>
        <v>4Cadeira</v>
      </c>
      <c r="B6" s="22">
        <v>4</v>
      </c>
      <c r="C6" s="38" t="s">
        <v>13</v>
      </c>
      <c r="D6" s="1" t="s">
        <v>31</v>
      </c>
      <c r="E6" s="3">
        <v>339.9</v>
      </c>
      <c r="F6" s="10">
        <f t="shared" si="1"/>
        <v>0.2</v>
      </c>
      <c r="G6" s="20" t="str">
        <f t="shared" si="0"/>
        <v>6X</v>
      </c>
      <c r="H6" s="1" t="s">
        <v>32</v>
      </c>
      <c r="I6" s="12" t="s">
        <v>16</v>
      </c>
      <c r="J6" s="43" t="s">
        <v>18</v>
      </c>
      <c r="K6" s="20">
        <v>2</v>
      </c>
      <c r="L6" s="20" t="str">
        <f t="shared" si="2"/>
        <v>FONTE MULTI 350W, ATX, GA350</v>
      </c>
      <c r="M6" s="48">
        <f t="shared" ref="M6:M11" si="3">VLOOKUP(K6&amp;$N$3,$A$3:$I$135,5,FALSE)</f>
        <v>189.9</v>
      </c>
      <c r="N6" s="45">
        <f t="shared" ref="N6:N11" si="4">VLOOKUP(K6&amp;$N$3,$A$3:$I$135,6,FALSE)</f>
        <v>0.18</v>
      </c>
      <c r="O6" s="44" t="str">
        <f t="shared" ref="O6:O11" si="5">VLOOKUP(K6&amp;$N$3,$A$3:$I$135,7,FALSE)</f>
        <v>5X</v>
      </c>
      <c r="P6" s="76" t="str">
        <f t="shared" ref="P6:P11" si="6">VLOOKUP(K6&amp;$N$3,$A$3:$I$135,8,FALSE)</f>
        <v>Multi</v>
      </c>
      <c r="Q6" s="78">
        <f t="shared" ref="Q6:Q11" si="7">M6+$M$15</f>
        <v>259.89999999999998</v>
      </c>
      <c r="R6" s="78">
        <f t="shared" ref="R6:R11" si="8">Q6-M6*N6</f>
        <v>225.71799999999996</v>
      </c>
    </row>
    <row r="7" spans="1:19">
      <c r="A7" s="37" t="str">
        <f>COUNTIF(C$3:C7,C7)&amp;C7</f>
        <v>5Cadeira</v>
      </c>
      <c r="B7" s="22">
        <v>5</v>
      </c>
      <c r="C7" s="38" t="s">
        <v>13</v>
      </c>
      <c r="D7" s="1" t="s">
        <v>33</v>
      </c>
      <c r="E7" s="3">
        <v>429.99</v>
      </c>
      <c r="F7" s="10">
        <f t="shared" si="1"/>
        <v>0.24</v>
      </c>
      <c r="G7" s="20" t="str">
        <f t="shared" si="0"/>
        <v>7X</v>
      </c>
      <c r="H7" s="1" t="s">
        <v>34</v>
      </c>
      <c r="I7" s="13" t="s">
        <v>16</v>
      </c>
      <c r="J7" s="42" t="s">
        <v>35</v>
      </c>
      <c r="K7" s="20">
        <v>3</v>
      </c>
      <c r="L7" s="20" t="str">
        <f t="shared" si="2"/>
        <v>FONTE AEROCOOL VX-500 500W</v>
      </c>
      <c r="M7" s="48">
        <f t="shared" si="3"/>
        <v>165.99</v>
      </c>
      <c r="N7" s="45">
        <f t="shared" si="4"/>
        <v>0.14000000000000001</v>
      </c>
      <c r="O7" s="44" t="str">
        <f t="shared" si="5"/>
        <v>4X</v>
      </c>
      <c r="P7" s="76" t="str">
        <f t="shared" si="6"/>
        <v>Aerocool</v>
      </c>
      <c r="Q7" s="78">
        <f t="shared" si="7"/>
        <v>235.99</v>
      </c>
      <c r="R7" s="78">
        <f t="shared" si="8"/>
        <v>212.75139999999999</v>
      </c>
    </row>
    <row r="8" spans="1:19">
      <c r="A8" s="37" t="str">
        <f>COUNTIF(C$3:C8,C8)&amp;C8</f>
        <v>6Cadeira</v>
      </c>
      <c r="B8" s="22">
        <v>6</v>
      </c>
      <c r="C8" s="38" t="s">
        <v>13</v>
      </c>
      <c r="D8" s="1" t="s">
        <v>36</v>
      </c>
      <c r="E8" s="3">
        <v>529.9</v>
      </c>
      <c r="F8" s="10">
        <f t="shared" si="1"/>
        <v>0.3</v>
      </c>
      <c r="G8" s="20" t="str">
        <f t="shared" si="0"/>
        <v>9X</v>
      </c>
      <c r="H8" s="7" t="s">
        <v>34</v>
      </c>
      <c r="I8" s="12" t="s">
        <v>16</v>
      </c>
      <c r="J8" s="43" t="s">
        <v>37</v>
      </c>
      <c r="K8" s="20">
        <v>4</v>
      </c>
      <c r="L8" s="20" t="str">
        <f t="shared" si="2"/>
        <v>FONTE PCYES! 450W ELETRO V2 80PLUS</v>
      </c>
      <c r="M8" s="48">
        <f t="shared" si="3"/>
        <v>279.99</v>
      </c>
      <c r="N8" s="45">
        <f t="shared" si="4"/>
        <v>0.2</v>
      </c>
      <c r="O8" s="44" t="str">
        <f t="shared" si="5"/>
        <v>6X</v>
      </c>
      <c r="P8" s="76" t="str">
        <f t="shared" si="6"/>
        <v>PCYES</v>
      </c>
      <c r="Q8" s="78">
        <f t="shared" si="7"/>
        <v>349.99</v>
      </c>
      <c r="R8" s="78">
        <f t="shared" si="8"/>
        <v>293.99200000000002</v>
      </c>
    </row>
    <row r="9" spans="1:19">
      <c r="A9" s="37" t="str">
        <f>COUNTIF(C$3:C9,C9)&amp;C9</f>
        <v>7Cadeira</v>
      </c>
      <c r="B9" s="22">
        <v>7</v>
      </c>
      <c r="C9" s="38" t="s">
        <v>13</v>
      </c>
      <c r="D9" s="1" t="s">
        <v>38</v>
      </c>
      <c r="E9" s="3">
        <v>359.9</v>
      </c>
      <c r="F9" s="10">
        <f t="shared" si="1"/>
        <v>0.2</v>
      </c>
      <c r="G9" s="20" t="str">
        <f t="shared" si="0"/>
        <v>6X</v>
      </c>
      <c r="H9" s="1" t="s">
        <v>39</v>
      </c>
      <c r="I9" s="14" t="s">
        <v>16</v>
      </c>
      <c r="J9" s="42" t="s">
        <v>40</v>
      </c>
      <c r="K9" s="20">
        <v>5</v>
      </c>
      <c r="L9" s="20" t="str">
        <f t="shared" si="2"/>
        <v>FONTE PCYES ELECTRO 750W V2, 80PLUS BRONZE</v>
      </c>
      <c r="M9" s="48">
        <f t="shared" si="3"/>
        <v>489.99</v>
      </c>
      <c r="N9" s="45">
        <f t="shared" si="4"/>
        <v>0.28000000000000003</v>
      </c>
      <c r="O9" s="44" t="str">
        <f t="shared" si="5"/>
        <v>8X</v>
      </c>
      <c r="P9" s="76" t="str">
        <f t="shared" si="6"/>
        <v>PCYES</v>
      </c>
      <c r="Q9" s="78">
        <f t="shared" si="7"/>
        <v>559.99</v>
      </c>
      <c r="R9" s="78">
        <f t="shared" si="8"/>
        <v>422.7928</v>
      </c>
    </row>
    <row r="10" spans="1:19">
      <c r="A10" s="37" t="str">
        <f>COUNTIF(C$3:C10,C10)&amp;C10</f>
        <v>1Caixa de som</v>
      </c>
      <c r="B10" s="22">
        <v>8</v>
      </c>
      <c r="C10" s="38" t="s">
        <v>41</v>
      </c>
      <c r="D10" s="1" t="s">
        <v>42</v>
      </c>
      <c r="E10" s="3">
        <v>59.99</v>
      </c>
      <c r="F10" s="10">
        <f t="shared" si="1"/>
        <v>0.05</v>
      </c>
      <c r="G10" s="20" t="str">
        <f t="shared" si="0"/>
        <v>2X</v>
      </c>
      <c r="H10" s="1" t="s">
        <v>43</v>
      </c>
      <c r="I10" s="12" t="s">
        <v>16</v>
      </c>
      <c r="J10" s="43" t="s">
        <v>44</v>
      </c>
      <c r="K10" s="20">
        <v>6</v>
      </c>
      <c r="L10" s="20" t="str">
        <f t="shared" si="2"/>
        <v>FONTE GIGABYTE P450B 450W 80PLUS BRONZE</v>
      </c>
      <c r="M10" s="48">
        <f t="shared" si="3"/>
        <v>229.99</v>
      </c>
      <c r="N10" s="45">
        <f t="shared" si="4"/>
        <v>0.18</v>
      </c>
      <c r="O10" s="44" t="str">
        <f t="shared" si="5"/>
        <v>5X</v>
      </c>
      <c r="P10" s="76" t="str">
        <f t="shared" si="6"/>
        <v>GIGABYTE</v>
      </c>
      <c r="Q10" s="78">
        <f t="shared" si="7"/>
        <v>299.99</v>
      </c>
      <c r="R10" s="78">
        <f t="shared" si="8"/>
        <v>258.59180000000003</v>
      </c>
    </row>
    <row r="11" spans="1:19">
      <c r="A11" s="37" t="str">
        <f>COUNTIF(C$3:C11,C11)&amp;C11</f>
        <v>2Caixa de som</v>
      </c>
      <c r="B11" s="22">
        <v>9</v>
      </c>
      <c r="C11" s="38" t="s">
        <v>41</v>
      </c>
      <c r="D11" s="1" t="s">
        <v>45</v>
      </c>
      <c r="E11" s="3">
        <v>99.99</v>
      </c>
      <c r="F11" s="10">
        <f t="shared" si="1"/>
        <v>0.08</v>
      </c>
      <c r="G11" s="20" t="str">
        <f t="shared" si="0"/>
        <v>3X</v>
      </c>
      <c r="H11" s="1" t="s">
        <v>21</v>
      </c>
      <c r="I11" s="12" t="s">
        <v>16</v>
      </c>
      <c r="J11" s="42" t="s">
        <v>46</v>
      </c>
      <c r="K11" s="20">
        <v>7</v>
      </c>
      <c r="L11" s="20" t="str">
        <f t="shared" si="2"/>
        <v>Fonte BRX Rainbow RGB, 850W, 80 Plus Bronze</v>
      </c>
      <c r="M11" s="48">
        <f t="shared" si="3"/>
        <v>279.89999999999998</v>
      </c>
      <c r="N11" s="45">
        <f t="shared" si="4"/>
        <v>0.2</v>
      </c>
      <c r="O11" s="44" t="str">
        <f t="shared" si="5"/>
        <v>6X</v>
      </c>
      <c r="P11" s="76" t="str">
        <f t="shared" si="6"/>
        <v>BRX</v>
      </c>
      <c r="Q11" s="78">
        <f t="shared" si="7"/>
        <v>349.9</v>
      </c>
      <c r="R11" s="78">
        <f t="shared" si="8"/>
        <v>293.91999999999996</v>
      </c>
    </row>
    <row r="12" spans="1:19">
      <c r="A12" s="37" t="str">
        <f>COUNTIF(C$3:C12,C12)&amp;C12</f>
        <v>3Caixa de som</v>
      </c>
      <c r="B12" s="22">
        <v>10</v>
      </c>
      <c r="C12" s="38" t="s">
        <v>41</v>
      </c>
      <c r="D12" s="1" t="s">
        <v>47</v>
      </c>
      <c r="E12" s="3">
        <v>93.99</v>
      </c>
      <c r="F12" s="10">
        <f t="shared" si="1"/>
        <v>0.08</v>
      </c>
      <c r="G12" s="20" t="str">
        <f t="shared" si="0"/>
        <v>3X</v>
      </c>
      <c r="H12" s="1" t="s">
        <v>48</v>
      </c>
      <c r="I12" s="12" t="s">
        <v>16</v>
      </c>
      <c r="J12" s="34" t="s">
        <v>49</v>
      </c>
    </row>
    <row r="13" spans="1:19">
      <c r="A13" s="37" t="str">
        <f>COUNTIF(C$3:C13,C13)&amp;C13</f>
        <v>4Caixa de som</v>
      </c>
      <c r="B13" s="22">
        <v>11</v>
      </c>
      <c r="C13" s="38" t="s">
        <v>41</v>
      </c>
      <c r="D13" s="1" t="s">
        <v>50</v>
      </c>
      <c r="E13" s="3">
        <v>99.99</v>
      </c>
      <c r="F13" s="10">
        <f t="shared" si="1"/>
        <v>0.08</v>
      </c>
      <c r="G13" s="20" t="str">
        <f t="shared" si="0"/>
        <v>3X</v>
      </c>
      <c r="H13" s="1" t="s">
        <v>21</v>
      </c>
      <c r="I13" s="12" t="s">
        <v>16</v>
      </c>
      <c r="J13" s="32" t="s">
        <v>51</v>
      </c>
    </row>
    <row r="14" spans="1:19" ht="42">
      <c r="A14" s="37" t="str">
        <f>COUNTIF(C$3:C14,C14)&amp;C14</f>
        <v>5Caixa de som</v>
      </c>
      <c r="B14" s="22">
        <v>12</v>
      </c>
      <c r="C14" s="38" t="s">
        <v>41</v>
      </c>
      <c r="D14" s="1" t="s">
        <v>52</v>
      </c>
      <c r="E14" s="3">
        <v>137.88999999999999</v>
      </c>
      <c r="F14" s="10">
        <f t="shared" si="1"/>
        <v>0.14000000000000001</v>
      </c>
      <c r="G14" s="20" t="str">
        <f t="shared" si="0"/>
        <v>4X</v>
      </c>
      <c r="H14" s="1" t="s">
        <v>48</v>
      </c>
      <c r="I14" s="12" t="s">
        <v>16</v>
      </c>
      <c r="J14" s="34" t="s">
        <v>53</v>
      </c>
      <c r="L14" s="56" t="s">
        <v>291</v>
      </c>
      <c r="M14" s="57" t="s">
        <v>292</v>
      </c>
      <c r="Q14" s="26" t="s">
        <v>12</v>
      </c>
      <c r="R14" s="24">
        <f>COUNT(B3:B135)</f>
        <v>133</v>
      </c>
    </row>
    <row r="15" spans="1:19" ht="36">
      <c r="A15" s="37" t="str">
        <f>COUNTIF(C$3:C15,C15)&amp;C15</f>
        <v>6Caixa de som</v>
      </c>
      <c r="B15" s="22">
        <v>13</v>
      </c>
      <c r="C15" s="38" t="s">
        <v>41</v>
      </c>
      <c r="D15" s="1" t="s">
        <v>54</v>
      </c>
      <c r="E15" s="3">
        <v>289.89</v>
      </c>
      <c r="F15" s="10">
        <f t="shared" si="1"/>
        <v>0.2</v>
      </c>
      <c r="G15" s="20" t="str">
        <f t="shared" si="0"/>
        <v>6X</v>
      </c>
      <c r="H15" s="1" t="s">
        <v>48</v>
      </c>
      <c r="I15" s="12" t="s">
        <v>16</v>
      </c>
      <c r="J15" s="32" t="s">
        <v>55</v>
      </c>
      <c r="L15" s="59"/>
      <c r="M15" s="58">
        <f>Localidades!G7</f>
        <v>70</v>
      </c>
      <c r="Q15" s="26" t="s">
        <v>19</v>
      </c>
      <c r="R15" s="25">
        <f>SUM(E3:E135)</f>
        <v>51235.81</v>
      </c>
    </row>
    <row r="16" spans="1:19" ht="30">
      <c r="A16" s="37" t="str">
        <f>COUNTIF(C$3:C16,C16)&amp;C16</f>
        <v>7Caixa de som</v>
      </c>
      <c r="B16" s="22">
        <v>14</v>
      </c>
      <c r="C16" s="38" t="s">
        <v>41</v>
      </c>
      <c r="D16" s="1" t="s">
        <v>56</v>
      </c>
      <c r="E16" s="3">
        <v>59.99</v>
      </c>
      <c r="F16" s="10">
        <f t="shared" si="1"/>
        <v>0.05</v>
      </c>
      <c r="G16" s="20" t="str">
        <f t="shared" si="0"/>
        <v>2X</v>
      </c>
      <c r="H16" s="1" t="s">
        <v>57</v>
      </c>
      <c r="I16" s="12" t="s">
        <v>16</v>
      </c>
      <c r="J16" s="35" t="s">
        <v>58</v>
      </c>
      <c r="L16" s="59"/>
      <c r="Q16" s="26" t="s">
        <v>27</v>
      </c>
      <c r="R16" s="25">
        <f>AVERAGE(E3:E135)</f>
        <v>385.23165413533832</v>
      </c>
    </row>
    <row r="17" spans="1:12">
      <c r="A17" s="37" t="str">
        <f>COUNTIF(C$3:C17,C17)&amp;C17</f>
        <v>1Cooler</v>
      </c>
      <c r="B17" s="22">
        <v>15</v>
      </c>
      <c r="C17" s="38" t="s">
        <v>22</v>
      </c>
      <c r="D17" s="1" t="s">
        <v>59</v>
      </c>
      <c r="E17" s="3">
        <v>48.99</v>
      </c>
      <c r="F17" s="10">
        <f t="shared" si="1"/>
        <v>0.05</v>
      </c>
      <c r="G17" s="20" t="str">
        <f t="shared" si="0"/>
        <v>2X</v>
      </c>
      <c r="H17" s="1" t="s">
        <v>60</v>
      </c>
      <c r="I17" s="12" t="s">
        <v>16</v>
      </c>
      <c r="J17" s="32" t="s">
        <v>61</v>
      </c>
      <c r="L17" s="59"/>
    </row>
    <row r="18" spans="1:12">
      <c r="A18" s="37" t="str">
        <f>COUNTIF(C$3:C18,C18)&amp;C18</f>
        <v>2Cooler</v>
      </c>
      <c r="B18" s="22">
        <v>16</v>
      </c>
      <c r="C18" s="38" t="s">
        <v>22</v>
      </c>
      <c r="D18" s="1" t="s">
        <v>62</v>
      </c>
      <c r="E18" s="3">
        <v>39.99</v>
      </c>
      <c r="F18" s="10">
        <f t="shared" si="1"/>
        <v>0.05</v>
      </c>
      <c r="G18" s="20" t="str">
        <f t="shared" si="0"/>
        <v>2X</v>
      </c>
      <c r="H18" s="1" t="s">
        <v>63</v>
      </c>
      <c r="I18" s="12" t="s">
        <v>16</v>
      </c>
      <c r="J18" s="34" t="s">
        <v>64</v>
      </c>
      <c r="L18" s="59"/>
    </row>
    <row r="19" spans="1:12">
      <c r="A19" s="37" t="str">
        <f>COUNTIF(C$3:C19,C19)&amp;C19</f>
        <v>3Cooler</v>
      </c>
      <c r="B19" s="22">
        <v>17</v>
      </c>
      <c r="C19" s="38" t="s">
        <v>22</v>
      </c>
      <c r="D19" s="1" t="s">
        <v>65</v>
      </c>
      <c r="E19" s="3">
        <v>98.99</v>
      </c>
      <c r="F19" s="10">
        <f t="shared" si="1"/>
        <v>0.08</v>
      </c>
      <c r="G19" s="20" t="str">
        <f t="shared" si="0"/>
        <v>3X</v>
      </c>
      <c r="H19" s="1" t="s">
        <v>15</v>
      </c>
      <c r="I19" s="12" t="s">
        <v>16</v>
      </c>
      <c r="J19" s="32" t="s">
        <v>66</v>
      </c>
      <c r="L19" s="59"/>
    </row>
    <row r="20" spans="1:12">
      <c r="A20" s="37" t="str">
        <f>COUNTIF(C$3:C20,C20)&amp;C20</f>
        <v>4Cooler</v>
      </c>
      <c r="B20" s="22">
        <v>18</v>
      </c>
      <c r="C20" s="38" t="s">
        <v>22</v>
      </c>
      <c r="D20" s="1" t="s">
        <v>67</v>
      </c>
      <c r="E20" s="3">
        <v>79.989999999999995</v>
      </c>
      <c r="F20" s="10">
        <f t="shared" si="1"/>
        <v>0.05</v>
      </c>
      <c r="G20" s="20" t="str">
        <f t="shared" si="0"/>
        <v>2X</v>
      </c>
      <c r="H20" s="1" t="s">
        <v>68</v>
      </c>
      <c r="I20" s="12" t="s">
        <v>16</v>
      </c>
      <c r="J20" s="34" t="s">
        <v>69</v>
      </c>
      <c r="L20" s="59"/>
    </row>
    <row r="21" spans="1:12">
      <c r="A21" s="37" t="str">
        <f>COUNTIF(C$3:C21,C21)&amp;C21</f>
        <v>5Cooler</v>
      </c>
      <c r="B21" s="22">
        <v>19</v>
      </c>
      <c r="C21" s="38" t="s">
        <v>22</v>
      </c>
      <c r="D21" s="1" t="s">
        <v>70</v>
      </c>
      <c r="E21" s="3">
        <v>14.99</v>
      </c>
      <c r="F21" s="10" t="str">
        <f t="shared" si="1"/>
        <v>-</v>
      </c>
      <c r="G21" s="20" t="str">
        <f t="shared" si="0"/>
        <v>-</v>
      </c>
      <c r="H21" s="1" t="s">
        <v>71</v>
      </c>
      <c r="I21" s="13" t="s">
        <v>16</v>
      </c>
      <c r="J21" s="33" t="s">
        <v>72</v>
      </c>
      <c r="L21" s="59"/>
    </row>
    <row r="22" spans="1:12">
      <c r="A22" s="37" t="str">
        <f>COUNTIF(C$3:C22,C22)&amp;C22</f>
        <v>6Cooler</v>
      </c>
      <c r="B22" s="22">
        <v>20</v>
      </c>
      <c r="C22" s="38" t="s">
        <v>22</v>
      </c>
      <c r="D22" s="1" t="s">
        <v>73</v>
      </c>
      <c r="E22" s="3">
        <v>148.9</v>
      </c>
      <c r="F22" s="10">
        <f t="shared" si="1"/>
        <v>0.14000000000000001</v>
      </c>
      <c r="G22" s="20" t="str">
        <f t="shared" si="0"/>
        <v>4X</v>
      </c>
      <c r="H22" s="7" t="s">
        <v>63</v>
      </c>
      <c r="I22" s="28" t="s">
        <v>16</v>
      </c>
      <c r="L22" s="59"/>
    </row>
    <row r="23" spans="1:12">
      <c r="A23" s="37" t="str">
        <f>COUNTIF(C$3:C23,C23)&amp;C23</f>
        <v>7Cooler</v>
      </c>
      <c r="B23" s="22">
        <v>21</v>
      </c>
      <c r="C23" s="38" t="s">
        <v>22</v>
      </c>
      <c r="D23" s="1" t="s">
        <v>74</v>
      </c>
      <c r="E23" s="3">
        <v>74.989999999999995</v>
      </c>
      <c r="F23" s="10">
        <f t="shared" si="1"/>
        <v>0.05</v>
      </c>
      <c r="G23" s="20" t="str">
        <f t="shared" si="0"/>
        <v>2X</v>
      </c>
      <c r="H23" s="7" t="s">
        <v>63</v>
      </c>
      <c r="I23" s="28" t="s">
        <v>16</v>
      </c>
      <c r="L23" s="59"/>
    </row>
    <row r="24" spans="1:12">
      <c r="A24" s="37" t="str">
        <f>COUNTIF(C$3:C24,C24)&amp;C24</f>
        <v>1Fonte</v>
      </c>
      <c r="B24" s="22">
        <v>22</v>
      </c>
      <c r="C24" s="38" t="s">
        <v>30</v>
      </c>
      <c r="D24" s="1" t="s">
        <v>75</v>
      </c>
      <c r="E24" s="3">
        <v>289.99</v>
      </c>
      <c r="F24" s="10">
        <f t="shared" si="1"/>
        <v>0.2</v>
      </c>
      <c r="G24" s="20" t="str">
        <f t="shared" si="0"/>
        <v>6X</v>
      </c>
      <c r="H24" s="7" t="s">
        <v>60</v>
      </c>
      <c r="I24" s="28" t="s">
        <v>16</v>
      </c>
      <c r="L24" s="59"/>
    </row>
    <row r="25" spans="1:12">
      <c r="A25" s="37" t="str">
        <f>COUNTIF(C$3:C25,C25)&amp;C25</f>
        <v>2Fonte</v>
      </c>
      <c r="B25" s="22">
        <v>23</v>
      </c>
      <c r="C25" s="38" t="s">
        <v>30</v>
      </c>
      <c r="D25" s="1" t="s">
        <v>76</v>
      </c>
      <c r="E25" s="3">
        <v>189.9</v>
      </c>
      <c r="F25" s="10">
        <f t="shared" si="1"/>
        <v>0.18</v>
      </c>
      <c r="G25" s="20" t="str">
        <f t="shared" si="0"/>
        <v>5X</v>
      </c>
      <c r="H25" s="7" t="s">
        <v>77</v>
      </c>
      <c r="I25" s="28" t="s">
        <v>16</v>
      </c>
      <c r="L25" s="59"/>
    </row>
    <row r="26" spans="1:12">
      <c r="A26" s="37" t="str">
        <f>COUNTIF(C$3:C26,C26)&amp;C26</f>
        <v>3Fonte</v>
      </c>
      <c r="B26" s="22">
        <v>24</v>
      </c>
      <c r="C26" s="38" t="s">
        <v>30</v>
      </c>
      <c r="D26" s="1" t="s">
        <v>78</v>
      </c>
      <c r="E26" s="3">
        <v>165.99</v>
      </c>
      <c r="F26" s="10">
        <f t="shared" si="1"/>
        <v>0.14000000000000001</v>
      </c>
      <c r="G26" s="20" t="str">
        <f t="shared" si="0"/>
        <v>4X</v>
      </c>
      <c r="H26" s="7" t="s">
        <v>79</v>
      </c>
      <c r="I26" s="28" t="s">
        <v>16</v>
      </c>
      <c r="L26" s="59"/>
    </row>
    <row r="27" spans="1:12">
      <c r="A27" s="37" t="str">
        <f>COUNTIF(C$3:C27,C27)&amp;C27</f>
        <v>4Fonte</v>
      </c>
      <c r="B27" s="22">
        <v>25</v>
      </c>
      <c r="C27" s="38" t="s">
        <v>30</v>
      </c>
      <c r="D27" s="1" t="s">
        <v>80</v>
      </c>
      <c r="E27" s="3">
        <v>279.99</v>
      </c>
      <c r="F27" s="10">
        <f t="shared" si="1"/>
        <v>0.2</v>
      </c>
      <c r="G27" s="20" t="str">
        <f t="shared" si="0"/>
        <v>6X</v>
      </c>
      <c r="H27" s="7" t="s">
        <v>81</v>
      </c>
      <c r="I27" s="28" t="s">
        <v>16</v>
      </c>
      <c r="L27" s="59"/>
    </row>
    <row r="28" spans="1:12">
      <c r="A28" s="37" t="str">
        <f>COUNTIF(C$3:C28,C28)&amp;C28</f>
        <v>5Fonte</v>
      </c>
      <c r="B28" s="22">
        <v>26</v>
      </c>
      <c r="C28" s="38" t="s">
        <v>30</v>
      </c>
      <c r="D28" s="1" t="s">
        <v>82</v>
      </c>
      <c r="E28" s="3">
        <v>489.99</v>
      </c>
      <c r="F28" s="10">
        <f t="shared" si="1"/>
        <v>0.28000000000000003</v>
      </c>
      <c r="G28" s="20" t="str">
        <f t="shared" si="0"/>
        <v>8X</v>
      </c>
      <c r="H28" s="7" t="s">
        <v>81</v>
      </c>
      <c r="I28" s="28" t="s">
        <v>16</v>
      </c>
      <c r="L28" s="59"/>
    </row>
    <row r="29" spans="1:12">
      <c r="A29" s="37" t="str">
        <f>COUNTIF(C$3:C29,C29)&amp;C29</f>
        <v>6Fonte</v>
      </c>
      <c r="B29" s="22">
        <v>27</v>
      </c>
      <c r="C29" s="38" t="s">
        <v>30</v>
      </c>
      <c r="D29" s="1" t="s">
        <v>83</v>
      </c>
      <c r="E29" s="3">
        <v>229.99</v>
      </c>
      <c r="F29" s="10">
        <f t="shared" si="1"/>
        <v>0.18</v>
      </c>
      <c r="G29" s="20" t="str">
        <f t="shared" si="0"/>
        <v>5X</v>
      </c>
      <c r="H29" s="7" t="s">
        <v>84</v>
      </c>
      <c r="I29" s="28" t="s">
        <v>16</v>
      </c>
      <c r="L29" s="59"/>
    </row>
    <row r="30" spans="1:12">
      <c r="A30" s="37" t="str">
        <f>COUNTIF(C$3:C30,C30)&amp;C30</f>
        <v>7Fonte</v>
      </c>
      <c r="B30" s="22">
        <v>28</v>
      </c>
      <c r="C30" s="38" t="s">
        <v>30</v>
      </c>
      <c r="D30" s="1" t="s">
        <v>85</v>
      </c>
      <c r="E30" s="3">
        <v>279.89999999999998</v>
      </c>
      <c r="F30" s="10">
        <f t="shared" si="1"/>
        <v>0.2</v>
      </c>
      <c r="G30" s="20" t="str">
        <f t="shared" si="0"/>
        <v>6X</v>
      </c>
      <c r="H30" s="7" t="s">
        <v>86</v>
      </c>
      <c r="I30" s="28" t="s">
        <v>16</v>
      </c>
    </row>
    <row r="31" spans="1:12">
      <c r="A31" s="37" t="str">
        <f>COUNTIF(C$3:C31,C31)&amp;C31</f>
        <v>1Gabinete</v>
      </c>
      <c r="B31" s="22">
        <v>29</v>
      </c>
      <c r="C31" s="38" t="s">
        <v>18</v>
      </c>
      <c r="D31" s="1" t="s">
        <v>87</v>
      </c>
      <c r="E31" s="3">
        <v>135.88</v>
      </c>
      <c r="F31" s="10">
        <f t="shared" si="1"/>
        <v>0.14000000000000001</v>
      </c>
      <c r="G31" s="20" t="str">
        <f t="shared" si="0"/>
        <v>4X</v>
      </c>
      <c r="H31" s="7" t="s">
        <v>88</v>
      </c>
      <c r="I31" s="28" t="s">
        <v>16</v>
      </c>
    </row>
    <row r="32" spans="1:12">
      <c r="A32" s="37" t="str">
        <f>COUNTIF(C$3:C32,C32)&amp;C32</f>
        <v>2Gabinete</v>
      </c>
      <c r="B32" s="22">
        <v>30</v>
      </c>
      <c r="C32" s="38" t="s">
        <v>18</v>
      </c>
      <c r="D32" s="1" t="s">
        <v>89</v>
      </c>
      <c r="E32" s="3">
        <v>399.99</v>
      </c>
      <c r="F32" s="10">
        <f t="shared" si="1"/>
        <v>0.24</v>
      </c>
      <c r="G32" s="20" t="str">
        <f t="shared" si="0"/>
        <v>7X</v>
      </c>
      <c r="H32" s="7" t="s">
        <v>48</v>
      </c>
      <c r="I32" s="28" t="s">
        <v>16</v>
      </c>
    </row>
    <row r="33" spans="1:9">
      <c r="A33" s="37" t="str">
        <f>COUNTIF(C$3:C33,C33)&amp;C33</f>
        <v>3Gabinete</v>
      </c>
      <c r="B33" s="22">
        <v>31</v>
      </c>
      <c r="C33" s="38" t="s">
        <v>18</v>
      </c>
      <c r="D33" s="1" t="s">
        <v>90</v>
      </c>
      <c r="E33" s="3">
        <v>338</v>
      </c>
      <c r="F33" s="10">
        <f t="shared" si="1"/>
        <v>0.2</v>
      </c>
      <c r="G33" s="20" t="str">
        <f t="shared" si="0"/>
        <v>6X</v>
      </c>
      <c r="H33" s="7" t="s">
        <v>88</v>
      </c>
      <c r="I33" s="28" t="s">
        <v>16</v>
      </c>
    </row>
    <row r="34" spans="1:9">
      <c r="A34" s="37" t="str">
        <f>COUNTIF(C$3:C34,C34)&amp;C34</f>
        <v>4Gabinete</v>
      </c>
      <c r="B34" s="22">
        <v>32</v>
      </c>
      <c r="C34" s="38" t="s">
        <v>18</v>
      </c>
      <c r="D34" s="1" t="s">
        <v>91</v>
      </c>
      <c r="E34" s="3">
        <v>269.89999999999998</v>
      </c>
      <c r="F34" s="10">
        <f t="shared" si="1"/>
        <v>0.2</v>
      </c>
      <c r="G34" s="20" t="str">
        <f t="shared" si="0"/>
        <v>6X</v>
      </c>
      <c r="H34" s="7" t="s">
        <v>92</v>
      </c>
      <c r="I34" s="28" t="s">
        <v>16</v>
      </c>
    </row>
    <row r="35" spans="1:9">
      <c r="A35" s="37" t="str">
        <f>COUNTIF(C$3:C35,C35)&amp;C35</f>
        <v>5Gabinete</v>
      </c>
      <c r="B35" s="22">
        <v>33</v>
      </c>
      <c r="C35" s="38" t="s">
        <v>18</v>
      </c>
      <c r="D35" s="1" t="s">
        <v>93</v>
      </c>
      <c r="E35" s="3">
        <v>100.69</v>
      </c>
      <c r="F35" s="10">
        <f t="shared" si="1"/>
        <v>0.08</v>
      </c>
      <c r="G35" s="20" t="str">
        <f t="shared" ref="G35:G66" si="9">IF(F35=5%,"2X",IF(F35=8%,"3X",IF(F35=14%,"4X",IF(F35=18%,"5X",IF(F35=20%,"6X",IF(F35=24%,"7X",IF(F35=28%,"8X",IF(F35=30%,"9X",IF(F35=32%,"10X",IF(F35=34%,"11X",IF(F35=38%,"12X","-")))))))))))</f>
        <v>3X</v>
      </c>
      <c r="H35" s="7" t="s">
        <v>88</v>
      </c>
      <c r="I35" s="28" t="s">
        <v>16</v>
      </c>
    </row>
    <row r="36" spans="1:9">
      <c r="A36" s="37" t="str">
        <f>COUNTIF(C$3:C36,C36)&amp;C36</f>
        <v>6Gabinete</v>
      </c>
      <c r="B36" s="22">
        <v>34</v>
      </c>
      <c r="C36" s="38" t="s">
        <v>18</v>
      </c>
      <c r="D36" s="1" t="s">
        <v>94</v>
      </c>
      <c r="E36" s="3">
        <v>159.9</v>
      </c>
      <c r="F36" s="10">
        <f t="shared" si="1"/>
        <v>0.14000000000000001</v>
      </c>
      <c r="G36" s="20" t="str">
        <f t="shared" si="9"/>
        <v>4X</v>
      </c>
      <c r="H36" s="7" t="s">
        <v>48</v>
      </c>
      <c r="I36" s="28" t="s">
        <v>16</v>
      </c>
    </row>
    <row r="37" spans="1:9">
      <c r="A37" s="37" t="str">
        <f>COUNTIF(C$3:C37,C37)&amp;C37</f>
        <v>7Gabinete</v>
      </c>
      <c r="B37" s="22">
        <v>35</v>
      </c>
      <c r="C37" s="38" t="s">
        <v>18</v>
      </c>
      <c r="D37" s="1" t="s">
        <v>95</v>
      </c>
      <c r="E37" s="3">
        <v>129.99</v>
      </c>
      <c r="F37" s="10">
        <f t="shared" si="1"/>
        <v>0.08</v>
      </c>
      <c r="G37" s="20" t="str">
        <f t="shared" si="9"/>
        <v>3X</v>
      </c>
      <c r="H37" s="7" t="s">
        <v>15</v>
      </c>
      <c r="I37" s="28" t="s">
        <v>16</v>
      </c>
    </row>
    <row r="38" spans="1:9">
      <c r="A38" s="37" t="str">
        <f>COUNTIF(C$3:C38,C38)&amp;C38</f>
        <v>1HD</v>
      </c>
      <c r="B38" s="22">
        <v>36</v>
      </c>
      <c r="C38" s="38" t="s">
        <v>35</v>
      </c>
      <c r="D38" s="1" t="s">
        <v>96</v>
      </c>
      <c r="E38" s="3">
        <v>103</v>
      </c>
      <c r="F38" s="10">
        <f t="shared" si="1"/>
        <v>0.08</v>
      </c>
      <c r="G38" s="20" t="str">
        <f t="shared" si="9"/>
        <v>3X</v>
      </c>
      <c r="H38" s="7" t="s">
        <v>97</v>
      </c>
      <c r="I38" s="28" t="s">
        <v>16</v>
      </c>
    </row>
    <row r="39" spans="1:9">
      <c r="A39" s="37" t="str">
        <f>COUNTIF(C$3:C39,C39)&amp;C39</f>
        <v>2HD</v>
      </c>
      <c r="B39" s="22">
        <v>37</v>
      </c>
      <c r="C39" s="38" t="s">
        <v>35</v>
      </c>
      <c r="D39" s="1" t="s">
        <v>98</v>
      </c>
      <c r="E39" s="3">
        <v>337.9</v>
      </c>
      <c r="F39" s="10">
        <f t="shared" si="1"/>
        <v>0.2</v>
      </c>
      <c r="G39" s="20" t="str">
        <f t="shared" si="9"/>
        <v>6X</v>
      </c>
      <c r="H39" s="7" t="s">
        <v>99</v>
      </c>
      <c r="I39" s="28" t="s">
        <v>16</v>
      </c>
    </row>
    <row r="40" spans="1:9">
      <c r="A40" s="37" t="str">
        <f>COUNTIF(C$3:C40,C40)&amp;C40</f>
        <v>3HD</v>
      </c>
      <c r="B40" s="22">
        <v>38</v>
      </c>
      <c r="C40" s="38" t="s">
        <v>35</v>
      </c>
      <c r="D40" s="1" t="s">
        <v>100</v>
      </c>
      <c r="E40" s="3">
        <v>139.99</v>
      </c>
      <c r="F40" s="10">
        <f t="shared" si="1"/>
        <v>0.14000000000000001</v>
      </c>
      <c r="G40" s="20" t="str">
        <f t="shared" si="9"/>
        <v>4X</v>
      </c>
      <c r="H40" s="7" t="s">
        <v>101</v>
      </c>
      <c r="I40" s="28" t="s">
        <v>16</v>
      </c>
    </row>
    <row r="41" spans="1:9">
      <c r="A41" s="37" t="str">
        <f>COUNTIF(C$3:C41,C41)&amp;C41</f>
        <v>4HD</v>
      </c>
      <c r="B41" s="22">
        <v>39</v>
      </c>
      <c r="C41" s="38" t="s">
        <v>35</v>
      </c>
      <c r="D41" s="1" t="s">
        <v>102</v>
      </c>
      <c r="E41" s="3">
        <v>419.99</v>
      </c>
      <c r="F41" s="10">
        <f t="shared" si="1"/>
        <v>0.24</v>
      </c>
      <c r="G41" s="20" t="str">
        <f t="shared" si="9"/>
        <v>7X</v>
      </c>
      <c r="H41" s="7" t="s">
        <v>97</v>
      </c>
      <c r="I41" s="28" t="s">
        <v>16</v>
      </c>
    </row>
    <row r="42" spans="1:9">
      <c r="A42" s="37" t="str">
        <f>COUNTIF(C$3:C42,C42)&amp;C42</f>
        <v>5HD</v>
      </c>
      <c r="B42" s="22">
        <v>40</v>
      </c>
      <c r="C42" s="39" t="s">
        <v>35</v>
      </c>
      <c r="D42" s="1" t="s">
        <v>103</v>
      </c>
      <c r="E42" s="4">
        <v>79.5</v>
      </c>
      <c r="F42" s="10">
        <f t="shared" si="1"/>
        <v>0.05</v>
      </c>
      <c r="G42" s="20" t="str">
        <f t="shared" si="9"/>
        <v>2X</v>
      </c>
      <c r="H42" s="29" t="s">
        <v>97</v>
      </c>
      <c r="I42" s="28" t="s">
        <v>16</v>
      </c>
    </row>
    <row r="43" spans="1:9">
      <c r="A43" s="37" t="str">
        <f>COUNTIF(C$3:C43,C43)&amp;C43</f>
        <v>6HD</v>
      </c>
      <c r="B43" s="22">
        <v>41</v>
      </c>
      <c r="C43" s="38" t="s">
        <v>35</v>
      </c>
      <c r="D43" s="1" t="s">
        <v>104</v>
      </c>
      <c r="E43" s="3">
        <v>629.99</v>
      </c>
      <c r="F43" s="10">
        <f t="shared" si="1"/>
        <v>0.32</v>
      </c>
      <c r="G43" s="20" t="str">
        <f t="shared" si="9"/>
        <v>10X</v>
      </c>
      <c r="H43" s="7" t="s">
        <v>97</v>
      </c>
      <c r="I43" s="28" t="s">
        <v>16</v>
      </c>
    </row>
    <row r="44" spans="1:9">
      <c r="A44" s="37" t="str">
        <f>COUNTIF(C$3:C44,C44)&amp;C44</f>
        <v>7HD</v>
      </c>
      <c r="B44" s="22">
        <v>42</v>
      </c>
      <c r="C44" s="38" t="s">
        <v>35</v>
      </c>
      <c r="D44" s="1" t="s">
        <v>105</v>
      </c>
      <c r="E44" s="3">
        <v>271</v>
      </c>
      <c r="F44" s="10">
        <f t="shared" si="1"/>
        <v>0.2</v>
      </c>
      <c r="G44" s="20" t="str">
        <f t="shared" si="9"/>
        <v>6X</v>
      </c>
      <c r="H44" s="7" t="s">
        <v>97</v>
      </c>
      <c r="I44" s="28" t="s">
        <v>16</v>
      </c>
    </row>
    <row r="45" spans="1:9">
      <c r="A45" s="37" t="str">
        <f>COUNTIF(C$3:C45,C45)&amp;C45</f>
        <v>1Headset</v>
      </c>
      <c r="B45" s="22">
        <v>43</v>
      </c>
      <c r="C45" s="38" t="s">
        <v>37</v>
      </c>
      <c r="D45" s="1" t="s">
        <v>106</v>
      </c>
      <c r="E45" s="3">
        <v>350</v>
      </c>
      <c r="F45" s="10">
        <f t="shared" si="1"/>
        <v>0.2</v>
      </c>
      <c r="G45" s="20" t="str">
        <f t="shared" si="9"/>
        <v>6X</v>
      </c>
      <c r="H45" s="7" t="s">
        <v>48</v>
      </c>
      <c r="I45" s="28" t="s">
        <v>16</v>
      </c>
    </row>
    <row r="46" spans="1:9">
      <c r="A46" s="37" t="str">
        <f>COUNTIF(C$3:C46,C46)&amp;C46</f>
        <v>2Headset</v>
      </c>
      <c r="B46" s="22">
        <v>44</v>
      </c>
      <c r="C46" s="38" t="s">
        <v>37</v>
      </c>
      <c r="D46" s="1" t="s">
        <v>107</v>
      </c>
      <c r="E46" s="3">
        <v>149.9</v>
      </c>
      <c r="F46" s="10">
        <f t="shared" si="1"/>
        <v>0.14000000000000001</v>
      </c>
      <c r="G46" s="20" t="str">
        <f t="shared" si="9"/>
        <v>4X</v>
      </c>
      <c r="H46" s="7" t="s">
        <v>48</v>
      </c>
      <c r="I46" s="28" t="s">
        <v>16</v>
      </c>
    </row>
    <row r="47" spans="1:9">
      <c r="A47" s="37" t="str">
        <f>COUNTIF(C$3:C47,C47)&amp;C47</f>
        <v>3Headset</v>
      </c>
      <c r="B47" s="22">
        <v>45</v>
      </c>
      <c r="C47" s="38" t="s">
        <v>37</v>
      </c>
      <c r="D47" s="1" t="s">
        <v>108</v>
      </c>
      <c r="E47" s="3">
        <v>259</v>
      </c>
      <c r="F47" s="10">
        <f t="shared" si="1"/>
        <v>0.2</v>
      </c>
      <c r="G47" s="20" t="str">
        <f t="shared" si="9"/>
        <v>6X</v>
      </c>
      <c r="H47" s="7" t="s">
        <v>48</v>
      </c>
      <c r="I47" s="28" t="s">
        <v>16</v>
      </c>
    </row>
    <row r="48" spans="1:9">
      <c r="A48" s="37" t="str">
        <f>COUNTIF(C$3:C48,C48)&amp;C48</f>
        <v>4Headset</v>
      </c>
      <c r="B48" s="22">
        <v>46</v>
      </c>
      <c r="C48" s="38" t="s">
        <v>37</v>
      </c>
      <c r="D48" s="1" t="s">
        <v>109</v>
      </c>
      <c r="E48" s="3">
        <v>169</v>
      </c>
      <c r="F48" s="10">
        <f t="shared" si="1"/>
        <v>0.14000000000000001</v>
      </c>
      <c r="G48" s="20" t="str">
        <f t="shared" si="9"/>
        <v>4X</v>
      </c>
      <c r="H48" s="7" t="s">
        <v>48</v>
      </c>
      <c r="I48" s="28" t="s">
        <v>16</v>
      </c>
    </row>
    <row r="49" spans="1:9">
      <c r="A49" s="37" t="str">
        <f>COUNTIF(C$3:C49,C49)&amp;C49</f>
        <v>5Headset</v>
      </c>
      <c r="B49" s="22">
        <v>47</v>
      </c>
      <c r="C49" s="38" t="s">
        <v>37</v>
      </c>
      <c r="D49" s="1" t="s">
        <v>110</v>
      </c>
      <c r="E49" s="3">
        <v>87.99</v>
      </c>
      <c r="F49" s="10">
        <f t="shared" si="1"/>
        <v>0.05</v>
      </c>
      <c r="G49" s="20" t="str">
        <f t="shared" si="9"/>
        <v>2X</v>
      </c>
      <c r="H49" s="7" t="s">
        <v>60</v>
      </c>
      <c r="I49" s="28" t="s">
        <v>16</v>
      </c>
    </row>
    <row r="50" spans="1:9">
      <c r="A50" s="37" t="str">
        <f>COUNTIF(C$3:C50,C50)&amp;C50</f>
        <v>6Headset</v>
      </c>
      <c r="B50" s="22">
        <v>48</v>
      </c>
      <c r="C50" s="38" t="s">
        <v>37</v>
      </c>
      <c r="D50" s="1" t="s">
        <v>111</v>
      </c>
      <c r="E50" s="3">
        <v>175.97</v>
      </c>
      <c r="F50" s="10">
        <f t="shared" si="1"/>
        <v>0.18</v>
      </c>
      <c r="G50" s="20" t="str">
        <f t="shared" si="9"/>
        <v>5X</v>
      </c>
      <c r="H50" s="7" t="s">
        <v>43</v>
      </c>
      <c r="I50" s="28" t="s">
        <v>16</v>
      </c>
    </row>
    <row r="51" spans="1:9">
      <c r="A51" s="37" t="str">
        <f>COUNTIF(C$3:C51,C51)&amp;C51</f>
        <v>7Headset</v>
      </c>
      <c r="B51" s="22">
        <v>49</v>
      </c>
      <c r="C51" s="38" t="s">
        <v>37</v>
      </c>
      <c r="D51" s="1" t="s">
        <v>112</v>
      </c>
      <c r="E51" s="3">
        <v>279.99</v>
      </c>
      <c r="F51" s="10">
        <f t="shared" si="1"/>
        <v>0.2</v>
      </c>
      <c r="G51" s="20" t="str">
        <f t="shared" si="9"/>
        <v>6X</v>
      </c>
      <c r="H51" s="7" t="s">
        <v>113</v>
      </c>
      <c r="I51" s="28" t="s">
        <v>16</v>
      </c>
    </row>
    <row r="52" spans="1:9">
      <c r="A52" s="37" t="str">
        <f>COUNTIF(C$3:C52,C52)&amp;C52</f>
        <v>1Memória Ram</v>
      </c>
      <c r="B52" s="22">
        <v>50</v>
      </c>
      <c r="C52" s="38" t="s">
        <v>114</v>
      </c>
      <c r="D52" s="1" t="s">
        <v>115</v>
      </c>
      <c r="E52" s="3">
        <v>128.28</v>
      </c>
      <c r="F52" s="10">
        <f t="shared" si="1"/>
        <v>0.08</v>
      </c>
      <c r="G52" s="20" t="str">
        <f t="shared" si="9"/>
        <v>3X</v>
      </c>
      <c r="H52" s="7" t="s">
        <v>116</v>
      </c>
      <c r="I52" s="28" t="s">
        <v>16</v>
      </c>
    </row>
    <row r="53" spans="1:9">
      <c r="A53" s="37" t="str">
        <f>COUNTIF(C$3:C53,C53)&amp;C53</f>
        <v>2Memória Ram</v>
      </c>
      <c r="B53" s="22">
        <v>51</v>
      </c>
      <c r="C53" s="38" t="s">
        <v>114</v>
      </c>
      <c r="D53" s="1" t="s">
        <v>117</v>
      </c>
      <c r="E53" s="3">
        <v>164.67</v>
      </c>
      <c r="F53" s="10">
        <f t="shared" si="1"/>
        <v>0.14000000000000001</v>
      </c>
      <c r="G53" s="20" t="str">
        <f t="shared" si="9"/>
        <v>4X</v>
      </c>
      <c r="H53" s="7" t="s">
        <v>118</v>
      </c>
      <c r="I53" s="28" t="s">
        <v>16</v>
      </c>
    </row>
    <row r="54" spans="1:9">
      <c r="A54" s="37" t="str">
        <f>COUNTIF(C$3:C54,C54)&amp;C54</f>
        <v>3Memória Ram</v>
      </c>
      <c r="B54" s="22">
        <v>52</v>
      </c>
      <c r="C54" s="38" t="s">
        <v>114</v>
      </c>
      <c r="D54" s="1" t="s">
        <v>119</v>
      </c>
      <c r="E54" s="3">
        <v>334</v>
      </c>
      <c r="F54" s="10">
        <f t="shared" si="1"/>
        <v>0.2</v>
      </c>
      <c r="G54" s="20" t="str">
        <f t="shared" si="9"/>
        <v>6X</v>
      </c>
      <c r="H54" s="7" t="s">
        <v>120</v>
      </c>
      <c r="I54" s="28" t="s">
        <v>16</v>
      </c>
    </row>
    <row r="55" spans="1:9">
      <c r="A55" s="37" t="str">
        <f>COUNTIF(C$3:C55,C55)&amp;C55</f>
        <v>4Memória Ram</v>
      </c>
      <c r="B55" s="22">
        <v>53</v>
      </c>
      <c r="C55" s="38" t="s">
        <v>114</v>
      </c>
      <c r="D55" s="1" t="s">
        <v>121</v>
      </c>
      <c r="E55" s="3">
        <v>139.99</v>
      </c>
      <c r="F55" s="10">
        <f t="shared" si="1"/>
        <v>0.14000000000000001</v>
      </c>
      <c r="G55" s="20" t="str">
        <f t="shared" si="9"/>
        <v>4X</v>
      </c>
      <c r="H55" s="7" t="s">
        <v>122</v>
      </c>
      <c r="I55" s="28" t="s">
        <v>16</v>
      </c>
    </row>
    <row r="56" spans="1:9">
      <c r="A56" s="37" t="str">
        <f>COUNTIF(C$3:C56,C56)&amp;C56</f>
        <v>5Memória Ram</v>
      </c>
      <c r="B56" s="22">
        <v>54</v>
      </c>
      <c r="C56" s="38" t="s">
        <v>114</v>
      </c>
      <c r="D56" s="1" t="s">
        <v>123</v>
      </c>
      <c r="E56" s="3">
        <v>299.99</v>
      </c>
      <c r="F56" s="10">
        <f t="shared" si="1"/>
        <v>0.2</v>
      </c>
      <c r="G56" s="20" t="str">
        <f t="shared" si="9"/>
        <v>6X</v>
      </c>
      <c r="H56" s="7" t="s">
        <v>120</v>
      </c>
      <c r="I56" s="28" t="s">
        <v>16</v>
      </c>
    </row>
    <row r="57" spans="1:9">
      <c r="A57" s="37" t="str">
        <f>COUNTIF(C$3:C57,C57)&amp;C57</f>
        <v>6Memória Ram</v>
      </c>
      <c r="B57" s="22">
        <v>55</v>
      </c>
      <c r="C57" s="38" t="s">
        <v>114</v>
      </c>
      <c r="D57" s="1" t="s">
        <v>124</v>
      </c>
      <c r="E57" s="3">
        <v>157.99</v>
      </c>
      <c r="F57" s="10">
        <f t="shared" si="1"/>
        <v>0.14000000000000001</v>
      </c>
      <c r="G57" s="20" t="str">
        <f t="shared" si="9"/>
        <v>4X</v>
      </c>
      <c r="H57" s="7" t="s">
        <v>120</v>
      </c>
      <c r="I57" s="28" t="s">
        <v>16</v>
      </c>
    </row>
    <row r="58" spans="1:9">
      <c r="A58" s="37" t="str">
        <f>COUNTIF(C$3:C58,C58)&amp;C58</f>
        <v>7Memória Ram</v>
      </c>
      <c r="B58" s="22">
        <v>56</v>
      </c>
      <c r="C58" s="38" t="s">
        <v>114</v>
      </c>
      <c r="D58" s="1" t="s">
        <v>125</v>
      </c>
      <c r="E58" s="3">
        <v>351.76</v>
      </c>
      <c r="F58" s="10">
        <f t="shared" si="1"/>
        <v>0.2</v>
      </c>
      <c r="G58" s="20" t="str">
        <f t="shared" si="9"/>
        <v>6X</v>
      </c>
      <c r="H58" s="7" t="s">
        <v>126</v>
      </c>
      <c r="I58" s="28" t="s">
        <v>16</v>
      </c>
    </row>
    <row r="59" spans="1:9">
      <c r="A59" s="37" t="str">
        <f>COUNTIF(C$3:C59,C59)&amp;C59</f>
        <v>1Mesa</v>
      </c>
      <c r="B59" s="22">
        <v>57</v>
      </c>
      <c r="C59" s="38" t="s">
        <v>46</v>
      </c>
      <c r="D59" s="1" t="s">
        <v>127</v>
      </c>
      <c r="E59" s="3">
        <v>449.99</v>
      </c>
      <c r="F59" s="10">
        <f t="shared" si="1"/>
        <v>0.24</v>
      </c>
      <c r="G59" s="20" t="str">
        <f t="shared" si="9"/>
        <v>7X</v>
      </c>
      <c r="H59" s="7" t="s">
        <v>15</v>
      </c>
      <c r="I59" s="28" t="s">
        <v>16</v>
      </c>
    </row>
    <row r="60" spans="1:9">
      <c r="A60" s="37" t="str">
        <f>COUNTIF(C$3:C60,C60)&amp;C60</f>
        <v>2Mesa</v>
      </c>
      <c r="B60" s="22">
        <v>58</v>
      </c>
      <c r="C60" s="38" t="s">
        <v>46</v>
      </c>
      <c r="D60" s="1" t="s">
        <v>128</v>
      </c>
      <c r="E60" s="3">
        <v>389.99</v>
      </c>
      <c r="F60" s="10">
        <f t="shared" si="1"/>
        <v>0.24</v>
      </c>
      <c r="G60" s="20" t="str">
        <f t="shared" si="9"/>
        <v>7X</v>
      </c>
      <c r="H60" s="7" t="s">
        <v>129</v>
      </c>
      <c r="I60" s="28" t="s">
        <v>16</v>
      </c>
    </row>
    <row r="61" spans="1:9">
      <c r="A61" s="37" t="str">
        <f>COUNTIF(C$3:C61,C61)&amp;C61</f>
        <v>3Mesa</v>
      </c>
      <c r="B61" s="22">
        <v>59</v>
      </c>
      <c r="C61" s="38" t="s">
        <v>46</v>
      </c>
      <c r="D61" s="1" t="s">
        <v>130</v>
      </c>
      <c r="E61" s="3">
        <v>244.98</v>
      </c>
      <c r="F61" s="10">
        <f t="shared" si="1"/>
        <v>0.2</v>
      </c>
      <c r="G61" s="20" t="str">
        <f t="shared" si="9"/>
        <v>6X</v>
      </c>
      <c r="H61" s="7" t="s">
        <v>129</v>
      </c>
      <c r="I61" s="28" t="s">
        <v>16</v>
      </c>
    </row>
    <row r="62" spans="1:9">
      <c r="A62" s="37" t="str">
        <f>COUNTIF(C$3:C62,C62)&amp;C62</f>
        <v>4Mesa</v>
      </c>
      <c r="B62" s="22">
        <v>60</v>
      </c>
      <c r="C62" s="38" t="s">
        <v>46</v>
      </c>
      <c r="D62" s="1" t="s">
        <v>131</v>
      </c>
      <c r="E62" s="3">
        <v>236.83</v>
      </c>
      <c r="F62" s="10">
        <f t="shared" si="1"/>
        <v>0.2</v>
      </c>
      <c r="G62" s="20" t="str">
        <f t="shared" si="9"/>
        <v>6X</v>
      </c>
      <c r="H62" s="7" t="s">
        <v>132</v>
      </c>
      <c r="I62" s="28" t="s">
        <v>16</v>
      </c>
    </row>
    <row r="63" spans="1:9">
      <c r="A63" s="37" t="str">
        <f>COUNTIF(C$3:C63,C63)&amp;C63</f>
        <v>5Mesa</v>
      </c>
      <c r="B63" s="22">
        <v>61</v>
      </c>
      <c r="C63" s="38" t="s">
        <v>46</v>
      </c>
      <c r="D63" s="1" t="s">
        <v>133</v>
      </c>
      <c r="E63" s="3">
        <v>449.99</v>
      </c>
      <c r="F63" s="10">
        <f t="shared" si="1"/>
        <v>0.24</v>
      </c>
      <c r="G63" s="20" t="str">
        <f t="shared" si="9"/>
        <v>7X</v>
      </c>
      <c r="H63" s="7" t="s">
        <v>21</v>
      </c>
      <c r="I63" s="28" t="s">
        <v>16</v>
      </c>
    </row>
    <row r="64" spans="1:9">
      <c r="A64" s="37" t="str">
        <f>COUNTIF(C$3:C64,C64)&amp;C64</f>
        <v>6Mesa</v>
      </c>
      <c r="B64" s="22">
        <v>62</v>
      </c>
      <c r="C64" s="38" t="s">
        <v>46</v>
      </c>
      <c r="D64" s="1" t="s">
        <v>134</v>
      </c>
      <c r="E64" s="3">
        <v>175</v>
      </c>
      <c r="F64" s="10">
        <f t="shared" si="1"/>
        <v>0.18</v>
      </c>
      <c r="G64" s="20" t="str">
        <f t="shared" si="9"/>
        <v>5X</v>
      </c>
      <c r="H64" s="7" t="s">
        <v>135</v>
      </c>
      <c r="I64" s="28" t="s">
        <v>16</v>
      </c>
    </row>
    <row r="65" spans="1:9">
      <c r="A65" s="37" t="str">
        <f>COUNTIF(C$3:C65,C65)&amp;C65</f>
        <v>7Mesa</v>
      </c>
      <c r="B65" s="22">
        <v>63</v>
      </c>
      <c r="C65" s="38" t="s">
        <v>46</v>
      </c>
      <c r="D65" s="1" t="s">
        <v>136</v>
      </c>
      <c r="E65" s="3">
        <v>399.99</v>
      </c>
      <c r="F65" s="10">
        <f t="shared" si="1"/>
        <v>0.24</v>
      </c>
      <c r="G65" s="20" t="str">
        <f t="shared" si="9"/>
        <v>7X</v>
      </c>
      <c r="H65" s="7" t="s">
        <v>129</v>
      </c>
      <c r="I65" s="28" t="s">
        <v>16</v>
      </c>
    </row>
    <row r="66" spans="1:9">
      <c r="A66" s="37" t="str">
        <f>COUNTIF(C$3:C66,C66)&amp;C66</f>
        <v>1Mesa digitalizadora</v>
      </c>
      <c r="B66" s="22">
        <v>64</v>
      </c>
      <c r="C66" s="38" t="s">
        <v>137</v>
      </c>
      <c r="D66" s="1" t="s">
        <v>138</v>
      </c>
      <c r="E66" s="3">
        <v>169.99</v>
      </c>
      <c r="F66" s="10">
        <f t="shared" si="1"/>
        <v>0.14000000000000001</v>
      </c>
      <c r="G66" s="20" t="str">
        <f t="shared" si="9"/>
        <v>4X</v>
      </c>
      <c r="H66" s="7" t="s">
        <v>139</v>
      </c>
      <c r="I66" s="28" t="s">
        <v>16</v>
      </c>
    </row>
    <row r="67" spans="1:9">
      <c r="A67" s="37" t="str">
        <f>COUNTIF(C$3:C67,C67)&amp;C67</f>
        <v>2Mesa digitalizadora</v>
      </c>
      <c r="B67" s="22">
        <v>65</v>
      </c>
      <c r="C67" s="38" t="s">
        <v>137</v>
      </c>
      <c r="D67" s="1" t="s">
        <v>140</v>
      </c>
      <c r="E67" s="3">
        <v>189.99</v>
      </c>
      <c r="F67" s="10">
        <f t="shared" si="1"/>
        <v>0.18</v>
      </c>
      <c r="G67" s="20" t="str">
        <f t="shared" ref="G67:G98" si="10">IF(F67=5%,"2X",IF(F67=8%,"3X",IF(F67=14%,"4X",IF(F67=18%,"5X",IF(F67=20%,"6X",IF(F67=24%,"7X",IF(F67=28%,"8X",IF(F67=30%,"9X",IF(F67=32%,"10X",IF(F67=34%,"11X",IF(F67=38%,"12X","-")))))))))))</f>
        <v>5X</v>
      </c>
      <c r="H67" s="7" t="s">
        <v>141</v>
      </c>
      <c r="I67" s="28" t="s">
        <v>16</v>
      </c>
    </row>
    <row r="68" spans="1:9">
      <c r="A68" s="37" t="str">
        <f>COUNTIF(C$3:C68,C68)&amp;C68</f>
        <v>3Mesa digitalizadora</v>
      </c>
      <c r="B68" s="22">
        <v>66</v>
      </c>
      <c r="C68" s="38" t="s">
        <v>137</v>
      </c>
      <c r="D68" s="1" t="s">
        <v>142</v>
      </c>
      <c r="E68" s="3">
        <v>1529.99</v>
      </c>
      <c r="F68" s="10" t="str">
        <f>IF(AND(E68&gt;=20,E68&lt;=90),5%,IF(AND(E68&gt;90,E68&lt;=130),8%,IF(AND(E68&gt;130,E68&lt;=170),14%,IF(AND(E68&gt;170,E68&lt;=230),18%,IF(AND(E68&gt;230,E68&lt;=360),20%,IF(AND(E68&gt;360,E68&lt;=460),24%,IF(AND(E68&gt;460,E68&lt;=520),28%,IF(AND(E68&gt;520,E68&lt;=600),30%,IF(AND(E68&gt;600,E68&lt;=710),32%,IF(AND(E68&gt;710,E68&lt;=900),38%,IF(AND(E68&gt;900),"40%","-")))))))))))</f>
        <v>40%</v>
      </c>
      <c r="G68" s="20" t="str">
        <f t="shared" si="10"/>
        <v>-</v>
      </c>
      <c r="H68" s="7" t="s">
        <v>143</v>
      </c>
      <c r="I68" s="28" t="s">
        <v>16</v>
      </c>
    </row>
    <row r="69" spans="1:9">
      <c r="A69" s="37" t="str">
        <f>COUNTIF(C$3:C69,C69)&amp;C69</f>
        <v>4Mesa digitalizadora</v>
      </c>
      <c r="B69" s="22">
        <v>67</v>
      </c>
      <c r="C69" s="38" t="s">
        <v>137</v>
      </c>
      <c r="D69" s="1" t="s">
        <v>144</v>
      </c>
      <c r="E69" s="3">
        <v>189.99</v>
      </c>
      <c r="F69" s="10">
        <f t="shared" ref="F69:F131" si="11">IF(AND(E69&gt;=20,E69&lt;=90),5%,IF(AND(E69&gt;90,E69&lt;=130),8%,IF(AND(E69&gt;130,E69&lt;=170),14%,IF(AND(E69&gt;170,E69&lt;=230),18%,IF(AND(E69&gt;230,E69&lt;=360),20%,IF(AND(E69&gt;360,E69&lt;=460),24%,IF(AND(E69&gt;460,E69&lt;=520),28%,IF(AND(E69&gt;520,E69&lt;=600),30%,IF(AND(E69&gt;600,E69&lt;=710),32%,IF(AND(E69&gt;710,E69&lt;=900),38%,IF(AND(E69&gt;900),"40%","-")))))))))))</f>
        <v>0.18</v>
      </c>
      <c r="G69" s="20" t="str">
        <f t="shared" si="10"/>
        <v>5X</v>
      </c>
      <c r="H69" s="7" t="s">
        <v>139</v>
      </c>
      <c r="I69" s="28" t="s">
        <v>16</v>
      </c>
    </row>
    <row r="70" spans="1:9">
      <c r="A70" s="37" t="str">
        <f>COUNTIF(C$3:C70,C70)&amp;C70</f>
        <v>5Mesa digitalizadora</v>
      </c>
      <c r="B70" s="22">
        <v>68</v>
      </c>
      <c r="C70" s="38" t="s">
        <v>137</v>
      </c>
      <c r="D70" s="1" t="s">
        <v>145</v>
      </c>
      <c r="E70" s="3">
        <v>245.9</v>
      </c>
      <c r="F70" s="10">
        <f t="shared" si="11"/>
        <v>0.2</v>
      </c>
      <c r="G70" s="20" t="str">
        <f t="shared" si="10"/>
        <v>6X</v>
      </c>
      <c r="H70" s="7" t="s">
        <v>146</v>
      </c>
      <c r="I70" s="28" t="s">
        <v>16</v>
      </c>
    </row>
    <row r="71" spans="1:9">
      <c r="A71" s="37" t="str">
        <f>COUNTIF(C$3:C71,C71)&amp;C71</f>
        <v>6Mesa digitalizadora</v>
      </c>
      <c r="B71" s="22">
        <v>69</v>
      </c>
      <c r="C71" s="38" t="s">
        <v>137</v>
      </c>
      <c r="D71" s="1" t="s">
        <v>147</v>
      </c>
      <c r="E71" s="3">
        <v>399.9</v>
      </c>
      <c r="F71" s="10">
        <f t="shared" si="11"/>
        <v>0.24</v>
      </c>
      <c r="G71" s="20" t="str">
        <f t="shared" si="10"/>
        <v>7X</v>
      </c>
      <c r="H71" s="7" t="s">
        <v>148</v>
      </c>
      <c r="I71" s="28" t="s">
        <v>16</v>
      </c>
    </row>
    <row r="72" spans="1:9">
      <c r="A72" s="37" t="str">
        <f>COUNTIF(C$3:C72,C72)&amp;C72</f>
        <v>7Mesa digitalizadora</v>
      </c>
      <c r="B72" s="22">
        <v>70</v>
      </c>
      <c r="C72" s="38" t="s">
        <v>137</v>
      </c>
      <c r="D72" s="1" t="s">
        <v>149</v>
      </c>
      <c r="E72" s="3">
        <v>145.41</v>
      </c>
      <c r="F72" s="10">
        <f t="shared" si="11"/>
        <v>0.14000000000000001</v>
      </c>
      <c r="G72" s="20" t="str">
        <f t="shared" si="10"/>
        <v>4X</v>
      </c>
      <c r="H72" s="7" t="s">
        <v>150</v>
      </c>
      <c r="I72" s="28" t="s">
        <v>16</v>
      </c>
    </row>
    <row r="73" spans="1:9">
      <c r="A73" s="37" t="str">
        <f>COUNTIF(C$3:C73,C73)&amp;C73</f>
        <v>1Microfone</v>
      </c>
      <c r="B73" s="22">
        <v>71</v>
      </c>
      <c r="C73" s="38" t="s">
        <v>51</v>
      </c>
      <c r="D73" s="1" t="s">
        <v>151</v>
      </c>
      <c r="E73" s="3">
        <v>129.9</v>
      </c>
      <c r="F73" s="10">
        <f t="shared" si="11"/>
        <v>0.08</v>
      </c>
      <c r="G73" s="20" t="str">
        <f t="shared" si="10"/>
        <v>3X</v>
      </c>
      <c r="H73" s="7" t="s">
        <v>48</v>
      </c>
      <c r="I73" s="28" t="s">
        <v>16</v>
      </c>
    </row>
    <row r="74" spans="1:9">
      <c r="A74" s="37" t="str">
        <f>COUNTIF(C$3:C74,C74)&amp;C74</f>
        <v>2Microfone</v>
      </c>
      <c r="B74" s="22">
        <v>72</v>
      </c>
      <c r="C74" s="38" t="s">
        <v>51</v>
      </c>
      <c r="D74" s="1" t="s">
        <v>152</v>
      </c>
      <c r="E74" s="3">
        <v>290.99</v>
      </c>
      <c r="F74" s="10">
        <f t="shared" si="11"/>
        <v>0.2</v>
      </c>
      <c r="G74" s="20" t="str">
        <f t="shared" si="10"/>
        <v>6X</v>
      </c>
      <c r="H74" s="7" t="s">
        <v>153</v>
      </c>
      <c r="I74" s="28" t="s">
        <v>16</v>
      </c>
    </row>
    <row r="75" spans="1:9">
      <c r="A75" s="37" t="str">
        <f>COUNTIF(C$3:C75,C75)&amp;C75</f>
        <v>3Microfone</v>
      </c>
      <c r="B75" s="22">
        <v>73</v>
      </c>
      <c r="C75" s="38" t="s">
        <v>51</v>
      </c>
      <c r="D75" s="1" t="s">
        <v>154</v>
      </c>
      <c r="E75" s="3">
        <v>637.04999999999995</v>
      </c>
      <c r="F75" s="10">
        <f t="shared" si="11"/>
        <v>0.32</v>
      </c>
      <c r="G75" s="20" t="str">
        <f t="shared" si="10"/>
        <v>10X</v>
      </c>
      <c r="H75" s="7" t="s">
        <v>155</v>
      </c>
      <c r="I75" s="28" t="s">
        <v>16</v>
      </c>
    </row>
    <row r="76" spans="1:9">
      <c r="A76" s="37" t="str">
        <f>COUNTIF(C$3:C76,C76)&amp;C76</f>
        <v>4Microfone</v>
      </c>
      <c r="B76" s="22">
        <v>74</v>
      </c>
      <c r="C76" s="38" t="s">
        <v>51</v>
      </c>
      <c r="D76" s="1" t="s">
        <v>156</v>
      </c>
      <c r="E76" s="3">
        <v>134.99</v>
      </c>
      <c r="F76" s="10">
        <f t="shared" si="11"/>
        <v>0.14000000000000001</v>
      </c>
      <c r="G76" s="20" t="str">
        <f t="shared" si="10"/>
        <v>4X</v>
      </c>
      <c r="H76" s="7" t="s">
        <v>157</v>
      </c>
      <c r="I76" s="28" t="s">
        <v>16</v>
      </c>
    </row>
    <row r="77" spans="1:9">
      <c r="A77" s="37" t="str">
        <f>COUNTIF(C$3:C77,C77)&amp;C77</f>
        <v>5Microfone</v>
      </c>
      <c r="B77" s="22">
        <v>75</v>
      </c>
      <c r="C77" s="38" t="s">
        <v>51</v>
      </c>
      <c r="D77" s="1" t="s">
        <v>158</v>
      </c>
      <c r="E77" s="3">
        <v>36.99</v>
      </c>
      <c r="F77" s="10">
        <f t="shared" si="11"/>
        <v>0.05</v>
      </c>
      <c r="G77" s="20" t="str">
        <f t="shared" si="10"/>
        <v>2X</v>
      </c>
      <c r="H77" s="7" t="s">
        <v>159</v>
      </c>
      <c r="I77" s="28" t="s">
        <v>16</v>
      </c>
    </row>
    <row r="78" spans="1:9">
      <c r="A78" s="37" t="str">
        <f>COUNTIF(C$3:C78,C78)&amp;C78</f>
        <v>6Microfone</v>
      </c>
      <c r="B78" s="22">
        <v>76</v>
      </c>
      <c r="C78" s="38" t="s">
        <v>51</v>
      </c>
      <c r="D78" s="2" t="s">
        <v>160</v>
      </c>
      <c r="E78" s="4">
        <v>749.99</v>
      </c>
      <c r="F78" s="10">
        <f t="shared" si="11"/>
        <v>0.38</v>
      </c>
      <c r="G78" s="20" t="str">
        <f t="shared" si="10"/>
        <v>12X</v>
      </c>
      <c r="H78" s="7" t="s">
        <v>155</v>
      </c>
      <c r="I78" s="28" t="s">
        <v>16</v>
      </c>
    </row>
    <row r="79" spans="1:9">
      <c r="A79" s="37" t="str">
        <f>COUNTIF(C$3:C79,C79)&amp;C79</f>
        <v>7Microfone</v>
      </c>
      <c r="B79" s="22">
        <v>77</v>
      </c>
      <c r="C79" s="40" t="s">
        <v>51</v>
      </c>
      <c r="D79" s="2" t="s">
        <v>161</v>
      </c>
      <c r="E79" s="8">
        <v>399.99</v>
      </c>
      <c r="F79" s="10">
        <f t="shared" si="11"/>
        <v>0.24</v>
      </c>
      <c r="G79" s="20" t="str">
        <f t="shared" si="10"/>
        <v>7X</v>
      </c>
      <c r="H79" s="7" t="s">
        <v>155</v>
      </c>
      <c r="I79" s="28" t="s">
        <v>16</v>
      </c>
    </row>
    <row r="80" spans="1:9">
      <c r="A80" s="37" t="str">
        <f>COUNTIF(C$3:C80,C80)&amp;C80</f>
        <v>1Mouse</v>
      </c>
      <c r="B80" s="22">
        <v>78</v>
      </c>
      <c r="C80" s="38" t="s">
        <v>53</v>
      </c>
      <c r="D80" s="2" t="s">
        <v>162</v>
      </c>
      <c r="E80" s="6">
        <v>89.99</v>
      </c>
      <c r="F80" s="10">
        <f t="shared" si="11"/>
        <v>0.05</v>
      </c>
      <c r="G80" s="20" t="str">
        <f t="shared" si="10"/>
        <v>2X</v>
      </c>
      <c r="H80" s="7" t="s">
        <v>48</v>
      </c>
      <c r="I80" s="28" t="s">
        <v>16</v>
      </c>
    </row>
    <row r="81" spans="1:9">
      <c r="A81" s="37" t="str">
        <f>COUNTIF(C$3:C81,C81)&amp;C81</f>
        <v>2Mouse</v>
      </c>
      <c r="B81" s="22">
        <v>79</v>
      </c>
      <c r="C81" s="38" t="s">
        <v>53</v>
      </c>
      <c r="D81" s="2" t="s">
        <v>163</v>
      </c>
      <c r="E81" s="3">
        <v>229.89</v>
      </c>
      <c r="F81" s="10">
        <f t="shared" si="11"/>
        <v>0.18</v>
      </c>
      <c r="G81" s="20" t="str">
        <f t="shared" si="10"/>
        <v>5X</v>
      </c>
      <c r="H81" s="7" t="s">
        <v>164</v>
      </c>
      <c r="I81" s="28" t="s">
        <v>16</v>
      </c>
    </row>
    <row r="82" spans="1:9">
      <c r="A82" s="37" t="str">
        <f>COUNTIF(C$3:C82,C82)&amp;C82</f>
        <v>3Mouse</v>
      </c>
      <c r="B82" s="22">
        <v>80</v>
      </c>
      <c r="C82" s="38" t="s">
        <v>53</v>
      </c>
      <c r="D82" s="2" t="s">
        <v>165</v>
      </c>
      <c r="E82" s="3">
        <v>678</v>
      </c>
      <c r="F82" s="10">
        <f t="shared" si="11"/>
        <v>0.32</v>
      </c>
      <c r="G82" s="20" t="str">
        <f t="shared" si="10"/>
        <v>10X</v>
      </c>
      <c r="H82" s="7" t="s">
        <v>164</v>
      </c>
      <c r="I82" s="28" t="s">
        <v>16</v>
      </c>
    </row>
    <row r="83" spans="1:9">
      <c r="A83" s="37" t="str">
        <f>COUNTIF(C$3:C83,C83)&amp;C83</f>
        <v>4Mouse</v>
      </c>
      <c r="B83" s="22">
        <v>81</v>
      </c>
      <c r="C83" s="38" t="s">
        <v>53</v>
      </c>
      <c r="D83" s="2" t="s">
        <v>166</v>
      </c>
      <c r="E83" s="3">
        <v>289.89999999999998</v>
      </c>
      <c r="F83" s="10">
        <f t="shared" si="11"/>
        <v>0.2</v>
      </c>
      <c r="G83" s="20" t="str">
        <f t="shared" si="10"/>
        <v>6X</v>
      </c>
      <c r="H83" s="7" t="s">
        <v>167</v>
      </c>
      <c r="I83" s="28" t="s">
        <v>16</v>
      </c>
    </row>
    <row r="84" spans="1:9">
      <c r="A84" s="37" t="str">
        <f>COUNTIF(C$3:C84,C84)&amp;C84</f>
        <v>5Mouse</v>
      </c>
      <c r="B84" s="22">
        <v>82</v>
      </c>
      <c r="C84" s="38" t="s">
        <v>53</v>
      </c>
      <c r="D84" s="2" t="s">
        <v>168</v>
      </c>
      <c r="E84" s="3">
        <v>129.9</v>
      </c>
      <c r="F84" s="10">
        <f t="shared" si="11"/>
        <v>0.08</v>
      </c>
      <c r="G84" s="20" t="str">
        <f t="shared" si="10"/>
        <v>3X</v>
      </c>
      <c r="H84" s="7" t="s">
        <v>164</v>
      </c>
      <c r="I84" s="28" t="s">
        <v>16</v>
      </c>
    </row>
    <row r="85" spans="1:9">
      <c r="A85" s="37" t="str">
        <f>COUNTIF(C$3:C85,C85)&amp;C85</f>
        <v>6Mouse</v>
      </c>
      <c r="B85" s="22">
        <v>83</v>
      </c>
      <c r="C85" s="38" t="s">
        <v>53</v>
      </c>
      <c r="D85" s="2" t="s">
        <v>169</v>
      </c>
      <c r="E85" s="3">
        <v>180</v>
      </c>
      <c r="F85" s="10">
        <f t="shared" si="11"/>
        <v>0.18</v>
      </c>
      <c r="G85" s="20" t="str">
        <f t="shared" si="10"/>
        <v>5X</v>
      </c>
      <c r="H85" s="7" t="s">
        <v>155</v>
      </c>
      <c r="I85" s="28" t="s">
        <v>16</v>
      </c>
    </row>
    <row r="86" spans="1:9">
      <c r="A86" s="37" t="str">
        <f>COUNTIF(C$3:C86,C86)&amp;C86</f>
        <v>7Mouse</v>
      </c>
      <c r="B86" s="22">
        <v>84</v>
      </c>
      <c r="C86" s="38" t="s">
        <v>53</v>
      </c>
      <c r="D86" s="2" t="s">
        <v>170</v>
      </c>
      <c r="E86" s="3">
        <v>235</v>
      </c>
      <c r="F86" s="10">
        <f t="shared" si="11"/>
        <v>0.2</v>
      </c>
      <c r="G86" s="20" t="str">
        <f t="shared" si="10"/>
        <v>6X</v>
      </c>
      <c r="H86" s="7" t="s">
        <v>113</v>
      </c>
      <c r="I86" s="28" t="s">
        <v>16</v>
      </c>
    </row>
    <row r="87" spans="1:9">
      <c r="A87" s="37" t="str">
        <f>COUNTIF(C$3:C87,C87)&amp;C87</f>
        <v>1Mousepad</v>
      </c>
      <c r="B87" s="22">
        <v>85</v>
      </c>
      <c r="C87" s="38" t="s">
        <v>55</v>
      </c>
      <c r="D87" s="2" t="s">
        <v>171</v>
      </c>
      <c r="E87" s="3">
        <v>69.900000000000006</v>
      </c>
      <c r="F87" s="10">
        <f t="shared" si="11"/>
        <v>0.05</v>
      </c>
      <c r="G87" s="20" t="str">
        <f t="shared" si="10"/>
        <v>2X</v>
      </c>
      <c r="H87" s="7" t="s">
        <v>172</v>
      </c>
      <c r="I87" s="28" t="s">
        <v>16</v>
      </c>
    </row>
    <row r="88" spans="1:9">
      <c r="A88" s="37" t="str">
        <f>COUNTIF(C$3:C88,C88)&amp;C88</f>
        <v>2Mousepad</v>
      </c>
      <c r="B88" s="22">
        <v>86</v>
      </c>
      <c r="C88" s="38" t="s">
        <v>55</v>
      </c>
      <c r="D88" s="2" t="s">
        <v>173</v>
      </c>
      <c r="E88" s="3">
        <v>30.3</v>
      </c>
      <c r="F88" s="10">
        <f t="shared" si="11"/>
        <v>0.05</v>
      </c>
      <c r="G88" s="20" t="str">
        <f t="shared" si="10"/>
        <v>2X</v>
      </c>
      <c r="H88" s="7" t="s">
        <v>174</v>
      </c>
      <c r="I88" s="28" t="s">
        <v>16</v>
      </c>
    </row>
    <row r="89" spans="1:9">
      <c r="A89" s="37" t="str">
        <f>COUNTIF(C$3:C89,C89)&amp;C89</f>
        <v>3Mousepad</v>
      </c>
      <c r="B89" s="22">
        <v>87</v>
      </c>
      <c r="C89" s="38" t="s">
        <v>55</v>
      </c>
      <c r="D89" s="2" t="s">
        <v>175</v>
      </c>
      <c r="E89" s="3">
        <v>49.9</v>
      </c>
      <c r="F89" s="10">
        <f t="shared" si="11"/>
        <v>0.05</v>
      </c>
      <c r="G89" s="20" t="str">
        <f t="shared" si="10"/>
        <v>2X</v>
      </c>
      <c r="H89" s="7" t="s">
        <v>172</v>
      </c>
      <c r="I89" s="28" t="s">
        <v>16</v>
      </c>
    </row>
    <row r="90" spans="1:9">
      <c r="A90" s="37" t="str">
        <f>COUNTIF(C$3:C90,C90)&amp;C90</f>
        <v>4Mousepad</v>
      </c>
      <c r="B90" s="22">
        <v>88</v>
      </c>
      <c r="C90" s="40" t="s">
        <v>55</v>
      </c>
      <c r="D90" s="1" t="s">
        <v>176</v>
      </c>
      <c r="E90" s="8">
        <v>44.99</v>
      </c>
      <c r="F90" s="10">
        <f t="shared" si="11"/>
        <v>0.05</v>
      </c>
      <c r="G90" s="20" t="str">
        <f t="shared" si="10"/>
        <v>2X</v>
      </c>
      <c r="H90" s="7" t="s">
        <v>177</v>
      </c>
      <c r="I90" s="28" t="s">
        <v>16</v>
      </c>
    </row>
    <row r="91" spans="1:9">
      <c r="A91" s="37" t="str">
        <f>COUNTIF(C$3:C91,C91)&amp;C91</f>
        <v>5Mousepad</v>
      </c>
      <c r="B91" s="22">
        <v>89</v>
      </c>
      <c r="C91" s="38" t="s">
        <v>55</v>
      </c>
      <c r="D91" s="9" t="s">
        <v>178</v>
      </c>
      <c r="E91" s="3">
        <v>69.900000000000006</v>
      </c>
      <c r="F91" s="10">
        <f t="shared" si="11"/>
        <v>0.05</v>
      </c>
      <c r="G91" s="20" t="str">
        <f t="shared" si="10"/>
        <v>2X</v>
      </c>
      <c r="H91" s="7" t="s">
        <v>172</v>
      </c>
      <c r="I91" s="28" t="s">
        <v>16</v>
      </c>
    </row>
    <row r="92" spans="1:9">
      <c r="A92" s="37" t="str">
        <f>COUNTIF(C$3:C92,C92)&amp;C92</f>
        <v>6Mousepad</v>
      </c>
      <c r="B92" s="22">
        <v>90</v>
      </c>
      <c r="C92" s="38" t="s">
        <v>55</v>
      </c>
      <c r="D92" s="1" t="s">
        <v>179</v>
      </c>
      <c r="E92" s="3">
        <v>39.799999999999997</v>
      </c>
      <c r="F92" s="10">
        <f t="shared" si="11"/>
        <v>0.05</v>
      </c>
      <c r="G92" s="20" t="str">
        <f t="shared" si="10"/>
        <v>2X</v>
      </c>
      <c r="H92" s="7" t="s">
        <v>180</v>
      </c>
      <c r="I92" s="28" t="s">
        <v>16</v>
      </c>
    </row>
    <row r="93" spans="1:9">
      <c r="A93" s="37" t="str">
        <f>COUNTIF(C$3:C93,C93)&amp;C93</f>
        <v>7Mousepad</v>
      </c>
      <c r="B93" s="22">
        <v>91</v>
      </c>
      <c r="C93" s="38" t="s">
        <v>55</v>
      </c>
      <c r="D93" s="1" t="s">
        <v>181</v>
      </c>
      <c r="E93" s="3">
        <v>44.97</v>
      </c>
      <c r="F93" s="10">
        <f t="shared" si="11"/>
        <v>0.05</v>
      </c>
      <c r="G93" s="20" t="str">
        <f t="shared" si="10"/>
        <v>2X</v>
      </c>
      <c r="H93" s="7" t="s">
        <v>43</v>
      </c>
      <c r="I93" s="28" t="s">
        <v>16</v>
      </c>
    </row>
    <row r="94" spans="1:9">
      <c r="A94" s="37" t="str">
        <f>COUNTIF(C$3:C94,C94)&amp;C94</f>
        <v>1Placa de vídeo</v>
      </c>
      <c r="B94" s="22">
        <v>92</v>
      </c>
      <c r="C94" s="38" t="s">
        <v>182</v>
      </c>
      <c r="D94" s="1" t="s">
        <v>183</v>
      </c>
      <c r="E94" s="3">
        <v>1699.99</v>
      </c>
      <c r="F94" s="10" t="str">
        <f t="shared" si="11"/>
        <v>40%</v>
      </c>
      <c r="G94" s="20" t="str">
        <f t="shared" si="10"/>
        <v>-</v>
      </c>
      <c r="H94" s="7" t="s">
        <v>184</v>
      </c>
      <c r="I94" s="28" t="s">
        <v>16</v>
      </c>
    </row>
    <row r="95" spans="1:9">
      <c r="A95" s="37" t="str">
        <f>COUNTIF(C$3:C95,C95)&amp;C95</f>
        <v>2Placa de vídeo</v>
      </c>
      <c r="B95" s="22">
        <v>93</v>
      </c>
      <c r="C95" s="38" t="s">
        <v>182</v>
      </c>
      <c r="D95" s="1" t="s">
        <v>185</v>
      </c>
      <c r="E95" s="3">
        <v>2789.99</v>
      </c>
      <c r="F95" s="10" t="str">
        <f t="shared" si="11"/>
        <v>40%</v>
      </c>
      <c r="G95" s="20" t="str">
        <f t="shared" si="10"/>
        <v>-</v>
      </c>
      <c r="H95" s="7" t="s">
        <v>186</v>
      </c>
      <c r="I95" s="28" t="s">
        <v>16</v>
      </c>
    </row>
    <row r="96" spans="1:9">
      <c r="A96" s="37" t="str">
        <f>COUNTIF(C$3:C96,C96)&amp;C96</f>
        <v>3Placa de vídeo</v>
      </c>
      <c r="B96" s="22">
        <v>94</v>
      </c>
      <c r="C96" s="38" t="s">
        <v>182</v>
      </c>
      <c r="D96" s="1" t="s">
        <v>187</v>
      </c>
      <c r="E96" s="3">
        <v>799.99</v>
      </c>
      <c r="F96" s="10">
        <f t="shared" si="11"/>
        <v>0.38</v>
      </c>
      <c r="G96" s="20" t="str">
        <f t="shared" si="10"/>
        <v>12X</v>
      </c>
      <c r="H96" s="7" t="s">
        <v>188</v>
      </c>
      <c r="I96" s="28" t="s">
        <v>16</v>
      </c>
    </row>
    <row r="97" spans="1:9">
      <c r="A97" s="37" t="str">
        <f>COUNTIF(C$3:C97,C97)&amp;C97</f>
        <v>4Placa de vídeo</v>
      </c>
      <c r="B97" s="22">
        <v>95</v>
      </c>
      <c r="C97" s="38" t="s">
        <v>182</v>
      </c>
      <c r="D97" s="1" t="s">
        <v>189</v>
      </c>
      <c r="E97" s="3">
        <v>1099.98</v>
      </c>
      <c r="F97" s="10" t="str">
        <f t="shared" si="11"/>
        <v>40%</v>
      </c>
      <c r="G97" s="20" t="str">
        <f t="shared" si="10"/>
        <v>-</v>
      </c>
      <c r="H97" s="7" t="s">
        <v>184</v>
      </c>
      <c r="I97" s="28" t="s">
        <v>16</v>
      </c>
    </row>
    <row r="98" spans="1:9">
      <c r="A98" s="37" t="str">
        <f>COUNTIF(C$3:C98,C98)&amp;C98</f>
        <v>5Placa de vídeo</v>
      </c>
      <c r="B98" s="22">
        <v>96</v>
      </c>
      <c r="C98" s="38" t="s">
        <v>182</v>
      </c>
      <c r="D98" s="1" t="s">
        <v>190</v>
      </c>
      <c r="E98" s="3">
        <v>1369.99</v>
      </c>
      <c r="F98" s="10" t="str">
        <f t="shared" si="11"/>
        <v>40%</v>
      </c>
      <c r="G98" s="20" t="str">
        <f t="shared" si="10"/>
        <v>-</v>
      </c>
      <c r="H98" s="7" t="s">
        <v>184</v>
      </c>
      <c r="I98" s="28" t="s">
        <v>16</v>
      </c>
    </row>
    <row r="99" spans="1:9">
      <c r="A99" s="37" t="str">
        <f>COUNTIF(C$3:C99,C99)&amp;C99</f>
        <v>6Placa de vídeo</v>
      </c>
      <c r="B99" s="22">
        <v>97</v>
      </c>
      <c r="C99" s="38" t="s">
        <v>182</v>
      </c>
      <c r="D99" s="1" t="s">
        <v>191</v>
      </c>
      <c r="E99" s="3">
        <v>1079.99</v>
      </c>
      <c r="F99" s="10" t="str">
        <f t="shared" si="11"/>
        <v>40%</v>
      </c>
      <c r="G99" s="20" t="str">
        <f t="shared" ref="G99:G130" si="12">IF(F99=5%,"2X",IF(F99=8%,"3X",IF(F99=14%,"4X",IF(F99=18%,"5X",IF(F99=20%,"6X",IF(F99=24%,"7X",IF(F99=28%,"8X",IF(F99=30%,"9X",IF(F99=32%,"10X",IF(F99=34%,"11X",IF(F99=38%,"12X","-")))))))))))</f>
        <v>-</v>
      </c>
      <c r="H99" s="7" t="s">
        <v>192</v>
      </c>
      <c r="I99" s="28" t="s">
        <v>16</v>
      </c>
    </row>
    <row r="100" spans="1:9">
      <c r="A100" s="37" t="str">
        <f>COUNTIF(C$3:C100,C100)&amp;C100</f>
        <v>7Placa de vídeo</v>
      </c>
      <c r="B100" s="22">
        <v>98</v>
      </c>
      <c r="C100" s="38" t="s">
        <v>182</v>
      </c>
      <c r="D100" s="1" t="s">
        <v>193</v>
      </c>
      <c r="E100" s="3">
        <v>1619.99</v>
      </c>
      <c r="F100" s="10" t="str">
        <f t="shared" si="11"/>
        <v>40%</v>
      </c>
      <c r="G100" s="20" t="str">
        <f t="shared" si="12"/>
        <v>-</v>
      </c>
      <c r="H100" s="7" t="s">
        <v>192</v>
      </c>
      <c r="I100" s="28" t="s">
        <v>16</v>
      </c>
    </row>
    <row r="101" spans="1:9">
      <c r="A101" s="37" t="str">
        <f>COUNTIF(C$3:C101,C101)&amp;C101</f>
        <v>1Placa-mãe</v>
      </c>
      <c r="B101" s="22">
        <v>99</v>
      </c>
      <c r="C101" s="38" t="s">
        <v>194</v>
      </c>
      <c r="D101" s="1" t="s">
        <v>195</v>
      </c>
      <c r="E101" s="3">
        <v>750.93</v>
      </c>
      <c r="F101" s="10">
        <f t="shared" si="11"/>
        <v>0.38</v>
      </c>
      <c r="G101" s="20" t="str">
        <f>IF(F101=5%,"2X",IF(F101=8%,"3X",IF(F101=14%,"4X",IF(F101=18%,"5X",IF(F101=20%,"6X",IF(F101=24%,"7X",IF(F101=28%,"8X",IF(F101=30%,"9X",IF(F101=32%,"10X",IF(F101=34%,"11X",IF(F101=38%,"12X","-")))))))))))</f>
        <v>12X</v>
      </c>
      <c r="H101" s="7" t="s">
        <v>184</v>
      </c>
      <c r="I101" s="28" t="s">
        <v>16</v>
      </c>
    </row>
    <row r="102" spans="1:9">
      <c r="A102" s="37" t="str">
        <f>COUNTIF(C$3:C102,C102)&amp;C102</f>
        <v>2Placa-mãe</v>
      </c>
      <c r="B102" s="22">
        <v>100</v>
      </c>
      <c r="C102" s="38" t="s">
        <v>194</v>
      </c>
      <c r="D102" s="1" t="s">
        <v>196</v>
      </c>
      <c r="E102" s="3">
        <v>359.99</v>
      </c>
      <c r="F102" s="10">
        <f t="shared" si="11"/>
        <v>0.2</v>
      </c>
      <c r="G102" s="20" t="str">
        <f t="shared" si="12"/>
        <v>6X</v>
      </c>
      <c r="H102" s="7" t="s">
        <v>197</v>
      </c>
      <c r="I102" s="28" t="s">
        <v>16</v>
      </c>
    </row>
    <row r="103" spans="1:9">
      <c r="A103" s="37" t="str">
        <f>COUNTIF(C$3:C103,C103)&amp;C103</f>
        <v>3Placa-mãe</v>
      </c>
      <c r="B103" s="22">
        <v>101</v>
      </c>
      <c r="C103" s="38" t="s">
        <v>194</v>
      </c>
      <c r="D103" s="1" t="s">
        <v>198</v>
      </c>
      <c r="E103" s="3">
        <v>352.9</v>
      </c>
      <c r="F103" s="10">
        <f t="shared" si="11"/>
        <v>0.2</v>
      </c>
      <c r="G103" s="20" t="str">
        <f t="shared" si="12"/>
        <v>6X</v>
      </c>
      <c r="H103" s="7" t="s">
        <v>199</v>
      </c>
      <c r="I103" s="28" t="s">
        <v>16</v>
      </c>
    </row>
    <row r="104" spans="1:9">
      <c r="A104" s="37" t="str">
        <f>COUNTIF(C$3:C104,C104)&amp;C104</f>
        <v>4Placa-mãe</v>
      </c>
      <c r="B104" s="22">
        <v>102</v>
      </c>
      <c r="C104" s="38" t="s">
        <v>194</v>
      </c>
      <c r="D104" s="1" t="s">
        <v>200</v>
      </c>
      <c r="E104" s="3">
        <v>1170.8699999999999</v>
      </c>
      <c r="F104" s="10" t="str">
        <f t="shared" si="11"/>
        <v>40%</v>
      </c>
      <c r="G104" s="20" t="str">
        <f t="shared" si="12"/>
        <v>-</v>
      </c>
      <c r="H104" s="7" t="s">
        <v>199</v>
      </c>
      <c r="I104" s="28" t="s">
        <v>16</v>
      </c>
    </row>
    <row r="105" spans="1:9">
      <c r="A105" s="37" t="str">
        <f>COUNTIF(C$3:C105,C105)&amp;C105</f>
        <v>5Placa-mãe</v>
      </c>
      <c r="B105" s="22">
        <v>103</v>
      </c>
      <c r="C105" s="38" t="s">
        <v>194</v>
      </c>
      <c r="D105" s="1" t="s">
        <v>201</v>
      </c>
      <c r="E105" s="3">
        <v>569.99</v>
      </c>
      <c r="F105" s="10">
        <f t="shared" si="11"/>
        <v>0.3</v>
      </c>
      <c r="G105" s="20" t="str">
        <f t="shared" si="12"/>
        <v>9X</v>
      </c>
      <c r="H105" s="7" t="s">
        <v>202</v>
      </c>
      <c r="I105" s="28" t="s">
        <v>16</v>
      </c>
    </row>
    <row r="106" spans="1:9">
      <c r="A106" s="37" t="str">
        <f>COUNTIF(C$3:C106,C106)&amp;C106</f>
        <v>6Placa-mãe</v>
      </c>
      <c r="B106" s="22">
        <v>104</v>
      </c>
      <c r="C106" s="38" t="s">
        <v>194</v>
      </c>
      <c r="D106" s="1" t="s">
        <v>203</v>
      </c>
      <c r="E106" s="3">
        <v>199.99</v>
      </c>
      <c r="F106" s="10">
        <f t="shared" si="11"/>
        <v>0.18</v>
      </c>
      <c r="G106" s="20" t="str">
        <f t="shared" si="12"/>
        <v>5X</v>
      </c>
      <c r="H106" s="7" t="s">
        <v>60</v>
      </c>
      <c r="I106" s="28" t="s">
        <v>16</v>
      </c>
    </row>
    <row r="107" spans="1:9">
      <c r="A107" s="37" t="str">
        <f>COUNTIF(C$3:C107,C107)&amp;C107</f>
        <v>7Placa-mãe</v>
      </c>
      <c r="B107" s="22">
        <v>105</v>
      </c>
      <c r="C107" s="38" t="s">
        <v>194</v>
      </c>
      <c r="D107" s="1" t="s">
        <v>204</v>
      </c>
      <c r="E107" s="3">
        <v>659.99</v>
      </c>
      <c r="F107" s="10">
        <f t="shared" si="11"/>
        <v>0.32</v>
      </c>
      <c r="G107" s="20" t="str">
        <f t="shared" si="12"/>
        <v>10X</v>
      </c>
      <c r="H107" s="7" t="s">
        <v>199</v>
      </c>
      <c r="I107" s="28" t="s">
        <v>16</v>
      </c>
    </row>
    <row r="108" spans="1:9">
      <c r="A108" s="37" t="str">
        <f>COUNTIF(C$3:C108,C108)&amp;C108</f>
        <v>1Processador</v>
      </c>
      <c r="B108" s="22">
        <v>106</v>
      </c>
      <c r="C108" s="38" t="s">
        <v>64</v>
      </c>
      <c r="D108" s="1" t="s">
        <v>205</v>
      </c>
      <c r="E108" s="3">
        <v>1142.5999999999999</v>
      </c>
      <c r="F108" s="10" t="str">
        <f t="shared" si="11"/>
        <v>40%</v>
      </c>
      <c r="G108" s="20" t="str">
        <f t="shared" si="12"/>
        <v>-</v>
      </c>
      <c r="H108" s="7" t="s">
        <v>206</v>
      </c>
      <c r="I108" s="28" t="s">
        <v>16</v>
      </c>
    </row>
    <row r="109" spans="1:9">
      <c r="A109" s="37" t="str">
        <f>COUNTIF(C$3:C109,C109)&amp;C109</f>
        <v>2Processador</v>
      </c>
      <c r="B109" s="22">
        <v>107</v>
      </c>
      <c r="C109" s="38" t="s">
        <v>64</v>
      </c>
      <c r="D109" s="1" t="s">
        <v>207</v>
      </c>
      <c r="E109" s="3">
        <v>699.99</v>
      </c>
      <c r="F109" s="10">
        <f t="shared" si="11"/>
        <v>0.32</v>
      </c>
      <c r="G109" s="20" t="str">
        <f t="shared" si="12"/>
        <v>10X</v>
      </c>
      <c r="H109" s="7" t="s">
        <v>208</v>
      </c>
      <c r="I109" s="28" t="s">
        <v>16</v>
      </c>
    </row>
    <row r="110" spans="1:9">
      <c r="A110" s="37" t="str">
        <f>COUNTIF(C$3:C110,C110)&amp;C110</f>
        <v>3Processador</v>
      </c>
      <c r="B110" s="22">
        <v>108</v>
      </c>
      <c r="C110" s="38" t="s">
        <v>64</v>
      </c>
      <c r="D110" s="1" t="s">
        <v>209</v>
      </c>
      <c r="E110" s="3">
        <v>2446</v>
      </c>
      <c r="F110" s="10" t="str">
        <f t="shared" si="11"/>
        <v>40%</v>
      </c>
      <c r="G110" s="20" t="str">
        <f t="shared" si="12"/>
        <v>-</v>
      </c>
      <c r="H110" s="7" t="s">
        <v>206</v>
      </c>
      <c r="I110" s="28" t="s">
        <v>16</v>
      </c>
    </row>
    <row r="111" spans="1:9">
      <c r="A111" s="37" t="str">
        <f>COUNTIF(C$3:C111,C111)&amp;C111</f>
        <v>4Processador</v>
      </c>
      <c r="B111" s="22">
        <v>109</v>
      </c>
      <c r="C111" s="38" t="s">
        <v>64</v>
      </c>
      <c r="D111" s="1" t="s">
        <v>210</v>
      </c>
      <c r="E111" s="3">
        <v>3851.01</v>
      </c>
      <c r="F111" s="10" t="str">
        <f t="shared" si="11"/>
        <v>40%</v>
      </c>
      <c r="G111" s="20" t="str">
        <f t="shared" si="12"/>
        <v>-</v>
      </c>
      <c r="H111" s="7" t="s">
        <v>208</v>
      </c>
      <c r="I111" s="28" t="s">
        <v>16</v>
      </c>
    </row>
    <row r="112" spans="1:9">
      <c r="A112" s="37" t="str">
        <f>COUNTIF(C$3:C112,C112)&amp;C112</f>
        <v>5Processador</v>
      </c>
      <c r="B112" s="22">
        <v>110</v>
      </c>
      <c r="C112" s="38" t="s">
        <v>64</v>
      </c>
      <c r="D112" s="1" t="s">
        <v>211</v>
      </c>
      <c r="E112" s="3">
        <v>499.9</v>
      </c>
      <c r="F112" s="10">
        <f t="shared" si="11"/>
        <v>0.28000000000000003</v>
      </c>
      <c r="G112" s="20" t="str">
        <f t="shared" si="12"/>
        <v>8X</v>
      </c>
      <c r="H112" s="7" t="s">
        <v>206</v>
      </c>
      <c r="I112" s="28" t="s">
        <v>16</v>
      </c>
    </row>
    <row r="113" spans="1:9">
      <c r="A113" s="37" t="str">
        <f>COUNTIF(C$3:C113,C113)&amp;C113</f>
        <v>6Processador</v>
      </c>
      <c r="B113" s="22">
        <v>111</v>
      </c>
      <c r="C113" s="38" t="s">
        <v>64</v>
      </c>
      <c r="D113" s="1" t="s">
        <v>212</v>
      </c>
      <c r="E113" s="3">
        <v>899.9</v>
      </c>
      <c r="F113" s="10">
        <f t="shared" si="11"/>
        <v>0.38</v>
      </c>
      <c r="G113" s="20" t="str">
        <f t="shared" si="12"/>
        <v>12X</v>
      </c>
      <c r="H113" s="7" t="s">
        <v>206</v>
      </c>
      <c r="I113" s="28" t="s">
        <v>16</v>
      </c>
    </row>
    <row r="114" spans="1:9">
      <c r="A114" s="37" t="str">
        <f>COUNTIF(C$3:C114,C114)&amp;C114</f>
        <v>7Processador</v>
      </c>
      <c r="B114" s="22">
        <v>112</v>
      </c>
      <c r="C114" s="38" t="s">
        <v>64</v>
      </c>
      <c r="D114" s="1" t="s">
        <v>213</v>
      </c>
      <c r="E114" s="3">
        <v>649.99</v>
      </c>
      <c r="F114" s="10">
        <f t="shared" si="11"/>
        <v>0.32</v>
      </c>
      <c r="G114" s="20" t="str">
        <f t="shared" si="12"/>
        <v>10X</v>
      </c>
      <c r="H114" s="7" t="s">
        <v>206</v>
      </c>
      <c r="I114" s="28" t="s">
        <v>16</v>
      </c>
    </row>
    <row r="115" spans="1:9">
      <c r="A115" s="37" t="str">
        <f>COUNTIF(C$3:C115,C115)&amp;C115</f>
        <v>1SSD</v>
      </c>
      <c r="B115" s="22">
        <v>113</v>
      </c>
      <c r="C115" s="38" t="s">
        <v>69</v>
      </c>
      <c r="D115" s="1" t="s">
        <v>214</v>
      </c>
      <c r="E115" s="3">
        <v>113.84</v>
      </c>
      <c r="F115" s="10">
        <f t="shared" si="11"/>
        <v>0.08</v>
      </c>
      <c r="G115" s="20" t="str">
        <f t="shared" si="12"/>
        <v>3X</v>
      </c>
      <c r="H115" s="7" t="s">
        <v>215</v>
      </c>
      <c r="I115" s="28" t="s">
        <v>16</v>
      </c>
    </row>
    <row r="116" spans="1:9">
      <c r="A116" s="37" t="str">
        <f>COUNTIF(C$3:C116,C116)&amp;C116</f>
        <v>2SSD</v>
      </c>
      <c r="B116" s="22">
        <v>114</v>
      </c>
      <c r="C116" s="38" t="s">
        <v>69</v>
      </c>
      <c r="D116" s="1" t="s">
        <v>216</v>
      </c>
      <c r="E116" s="3">
        <v>146.94</v>
      </c>
      <c r="F116" s="10">
        <f t="shared" si="11"/>
        <v>0.14000000000000001</v>
      </c>
      <c r="G116" s="20" t="str">
        <f t="shared" si="12"/>
        <v>4X</v>
      </c>
      <c r="H116" s="7" t="s">
        <v>217</v>
      </c>
      <c r="I116" s="28" t="s">
        <v>16</v>
      </c>
    </row>
    <row r="117" spans="1:9">
      <c r="A117" s="37" t="str">
        <f>COUNTIF(C$3:C117,C117)&amp;C117</f>
        <v>3SSD</v>
      </c>
      <c r="B117" s="22">
        <v>115</v>
      </c>
      <c r="C117" s="38" t="s">
        <v>69</v>
      </c>
      <c r="D117" s="1" t="s">
        <v>218</v>
      </c>
      <c r="E117" s="3">
        <v>122.44</v>
      </c>
      <c r="F117" s="10">
        <f t="shared" si="11"/>
        <v>0.08</v>
      </c>
      <c r="G117" s="20" t="str">
        <f t="shared" si="12"/>
        <v>3X</v>
      </c>
      <c r="H117" s="7" t="s">
        <v>219</v>
      </c>
      <c r="I117" s="28" t="s">
        <v>16</v>
      </c>
    </row>
    <row r="118" spans="1:9">
      <c r="A118" s="37" t="str">
        <f>COUNTIF(C$3:C118,C118)&amp;C118</f>
        <v>4SSD</v>
      </c>
      <c r="B118" s="22">
        <v>116</v>
      </c>
      <c r="C118" s="38" t="s">
        <v>69</v>
      </c>
      <c r="D118" s="1" t="s">
        <v>220</v>
      </c>
      <c r="E118" s="3">
        <v>77</v>
      </c>
      <c r="F118" s="10">
        <f t="shared" si="11"/>
        <v>0.05</v>
      </c>
      <c r="G118" s="20" t="str">
        <f t="shared" si="12"/>
        <v>2X</v>
      </c>
      <c r="H118" s="7" t="s">
        <v>221</v>
      </c>
      <c r="I118" s="28" t="s">
        <v>16</v>
      </c>
    </row>
    <row r="119" spans="1:9">
      <c r="A119" s="37" t="str">
        <f>COUNTIF(C$3:C119,C119)&amp;C119</f>
        <v>5SSD</v>
      </c>
      <c r="B119" s="22">
        <v>117</v>
      </c>
      <c r="C119" s="38" t="s">
        <v>69</v>
      </c>
      <c r="D119" s="1" t="s">
        <v>222</v>
      </c>
      <c r="E119" s="3">
        <v>61.79</v>
      </c>
      <c r="F119" s="10">
        <f t="shared" si="11"/>
        <v>0.05</v>
      </c>
      <c r="G119" s="20" t="str">
        <f t="shared" si="12"/>
        <v>2X</v>
      </c>
      <c r="H119" s="7" t="s">
        <v>223</v>
      </c>
      <c r="I119" s="28" t="s">
        <v>16</v>
      </c>
    </row>
    <row r="120" spans="1:9">
      <c r="A120" s="37" t="str">
        <f>COUNTIF(C$3:C120,C120)&amp;C120</f>
        <v>6SSD</v>
      </c>
      <c r="B120" s="22">
        <v>118</v>
      </c>
      <c r="C120" s="38" t="s">
        <v>69</v>
      </c>
      <c r="D120" s="1" t="s">
        <v>224</v>
      </c>
      <c r="E120" s="3">
        <v>207.97</v>
      </c>
      <c r="F120" s="10">
        <f t="shared" si="11"/>
        <v>0.18</v>
      </c>
      <c r="G120" s="20" t="str">
        <f t="shared" si="12"/>
        <v>5X</v>
      </c>
      <c r="H120" s="7" t="s">
        <v>225</v>
      </c>
      <c r="I120" s="28" t="s">
        <v>16</v>
      </c>
    </row>
    <row r="121" spans="1:9">
      <c r="A121" s="37" t="str">
        <f>COUNTIF(C$3:C121,C121)&amp;C121</f>
        <v>7SSD</v>
      </c>
      <c r="B121" s="22">
        <v>119</v>
      </c>
      <c r="C121" s="38" t="s">
        <v>69</v>
      </c>
      <c r="D121" s="1" t="s">
        <v>226</v>
      </c>
      <c r="E121" s="3">
        <v>467.37</v>
      </c>
      <c r="F121" s="10">
        <f t="shared" si="11"/>
        <v>0.28000000000000003</v>
      </c>
      <c r="G121" s="20" t="str">
        <f t="shared" si="12"/>
        <v>8X</v>
      </c>
      <c r="H121" s="7" t="s">
        <v>227</v>
      </c>
      <c r="I121" s="28" t="s">
        <v>16</v>
      </c>
    </row>
    <row r="122" spans="1:9">
      <c r="A122" s="37" t="str">
        <f>COUNTIF(C$3:C122,C122)&amp;C122</f>
        <v>1Teclado</v>
      </c>
      <c r="B122" s="22">
        <v>120</v>
      </c>
      <c r="C122" s="38" t="s">
        <v>66</v>
      </c>
      <c r="D122" s="1" t="s">
        <v>228</v>
      </c>
      <c r="E122" s="3">
        <v>51.48</v>
      </c>
      <c r="F122" s="10">
        <f t="shared" si="11"/>
        <v>0.05</v>
      </c>
      <c r="G122" s="20" t="str">
        <f t="shared" si="12"/>
        <v>2X</v>
      </c>
      <c r="H122" s="7" t="s">
        <v>229</v>
      </c>
      <c r="I122" s="28" t="s">
        <v>16</v>
      </c>
    </row>
    <row r="123" spans="1:9">
      <c r="A123" s="37" t="str">
        <f>COUNTIF(C$3:C123,C123)&amp;C123</f>
        <v>2Teclado</v>
      </c>
      <c r="B123" s="22">
        <v>121</v>
      </c>
      <c r="C123" s="38" t="s">
        <v>66</v>
      </c>
      <c r="D123" s="1" t="s">
        <v>230</v>
      </c>
      <c r="E123" s="3">
        <v>54.5</v>
      </c>
      <c r="F123" s="10">
        <f t="shared" si="11"/>
        <v>0.05</v>
      </c>
      <c r="G123" s="20" t="str">
        <f t="shared" si="12"/>
        <v>2X</v>
      </c>
      <c r="H123" s="7" t="s">
        <v>231</v>
      </c>
      <c r="I123" s="28" t="s">
        <v>16</v>
      </c>
    </row>
    <row r="124" spans="1:9">
      <c r="A124" s="37" t="str">
        <f>COUNTIF(C$3:C124,C124)&amp;C124</f>
        <v>3Teclado</v>
      </c>
      <c r="B124" s="22">
        <v>122</v>
      </c>
      <c r="C124" s="38" t="s">
        <v>66</v>
      </c>
      <c r="D124" s="1" t="s">
        <v>232</v>
      </c>
      <c r="E124" s="3">
        <v>169.27</v>
      </c>
      <c r="F124" s="10">
        <f t="shared" si="11"/>
        <v>0.14000000000000001</v>
      </c>
      <c r="G124" s="20" t="str">
        <f t="shared" si="12"/>
        <v>4X</v>
      </c>
      <c r="H124" s="7" t="s">
        <v>233</v>
      </c>
      <c r="I124" s="28" t="s">
        <v>16</v>
      </c>
    </row>
    <row r="125" spans="1:9">
      <c r="A125" s="37" t="str">
        <f>COUNTIF(C$3:C125,C125)&amp;C125</f>
        <v>4Teclado</v>
      </c>
      <c r="B125" s="22">
        <v>123</v>
      </c>
      <c r="C125" s="38" t="s">
        <v>66</v>
      </c>
      <c r="D125" s="1" t="s">
        <v>234</v>
      </c>
      <c r="E125" s="3">
        <v>161.84</v>
      </c>
      <c r="F125" s="10">
        <f t="shared" si="11"/>
        <v>0.14000000000000001</v>
      </c>
      <c r="G125" s="20" t="str">
        <f t="shared" si="12"/>
        <v>4X</v>
      </c>
      <c r="H125" s="7" t="s">
        <v>235</v>
      </c>
      <c r="I125" s="28" t="s">
        <v>16</v>
      </c>
    </row>
    <row r="126" spans="1:9">
      <c r="A126" s="37" t="str">
        <f>COUNTIF(C$3:C126,C126)&amp;C126</f>
        <v>5Teclado</v>
      </c>
      <c r="B126" s="22">
        <v>124</v>
      </c>
      <c r="C126" s="38" t="s">
        <v>66</v>
      </c>
      <c r="D126" s="1" t="s">
        <v>236</v>
      </c>
      <c r="E126" s="3">
        <v>33.99</v>
      </c>
      <c r="F126" s="10">
        <f t="shared" si="11"/>
        <v>0.05</v>
      </c>
      <c r="G126" s="20" t="str">
        <f t="shared" si="12"/>
        <v>2X</v>
      </c>
      <c r="H126" s="7" t="s">
        <v>68</v>
      </c>
      <c r="I126" s="28" t="s">
        <v>16</v>
      </c>
    </row>
    <row r="127" spans="1:9">
      <c r="A127" s="37" t="str">
        <f>COUNTIF(C$3:C127,C127)&amp;C127</f>
        <v>6Teclado</v>
      </c>
      <c r="B127" s="22">
        <v>125</v>
      </c>
      <c r="C127" s="38" t="s">
        <v>66</v>
      </c>
      <c r="D127" s="1" t="s">
        <v>237</v>
      </c>
      <c r="E127" s="3">
        <v>49.99</v>
      </c>
      <c r="F127" s="10">
        <f t="shared" si="11"/>
        <v>0.05</v>
      </c>
      <c r="G127" s="20" t="str">
        <f t="shared" si="12"/>
        <v>2X</v>
      </c>
      <c r="H127" s="7" t="s">
        <v>68</v>
      </c>
      <c r="I127" s="28" t="s">
        <v>16</v>
      </c>
    </row>
    <row r="128" spans="1:9">
      <c r="A128" s="37" t="str">
        <f>COUNTIF(C$3:C128,C128)&amp;C128</f>
        <v>7Teclado</v>
      </c>
      <c r="B128" s="22">
        <v>126</v>
      </c>
      <c r="C128" s="38" t="s">
        <v>66</v>
      </c>
      <c r="D128" s="1" t="s">
        <v>238</v>
      </c>
      <c r="E128" s="3">
        <v>189.99</v>
      </c>
      <c r="F128" s="10">
        <f t="shared" si="11"/>
        <v>0.18</v>
      </c>
      <c r="G128" s="20" t="str">
        <f t="shared" si="12"/>
        <v>5X</v>
      </c>
      <c r="H128" s="7" t="s">
        <v>239</v>
      </c>
      <c r="I128" s="28" t="s">
        <v>16</v>
      </c>
    </row>
    <row r="129" spans="1:9">
      <c r="A129" s="37" t="str">
        <f>COUNTIF(C$3:C129,C129)&amp;C129</f>
        <v>1Webcam</v>
      </c>
      <c r="B129" s="22">
        <v>127</v>
      </c>
      <c r="C129" s="38" t="s">
        <v>240</v>
      </c>
      <c r="D129" s="1" t="s">
        <v>241</v>
      </c>
      <c r="E129" s="3">
        <v>499.99</v>
      </c>
      <c r="F129" s="10">
        <f t="shared" si="11"/>
        <v>0.28000000000000003</v>
      </c>
      <c r="G129" s="20" t="str">
        <f t="shared" si="12"/>
        <v>8X</v>
      </c>
      <c r="H129" s="29" t="s">
        <v>242</v>
      </c>
      <c r="I129" s="28" t="s">
        <v>16</v>
      </c>
    </row>
    <row r="130" spans="1:9">
      <c r="A130" s="37" t="str">
        <f>COUNTIF(C$3:C130,C130)&amp;C130</f>
        <v>2Webcam</v>
      </c>
      <c r="B130" s="22">
        <v>128</v>
      </c>
      <c r="C130" s="38" t="s">
        <v>240</v>
      </c>
      <c r="D130" s="1" t="s">
        <v>243</v>
      </c>
      <c r="E130" s="3">
        <v>159.99</v>
      </c>
      <c r="F130" s="10">
        <f t="shared" si="11"/>
        <v>0.14000000000000001</v>
      </c>
      <c r="G130" s="20" t="str">
        <f t="shared" si="12"/>
        <v>4X</v>
      </c>
      <c r="H130" s="30" t="s">
        <v>244</v>
      </c>
      <c r="I130" s="28" t="s">
        <v>16</v>
      </c>
    </row>
    <row r="131" spans="1:9">
      <c r="A131" s="37" t="str">
        <f>COUNTIF(C$3:C131,C131)&amp;C131</f>
        <v>3Webcam</v>
      </c>
      <c r="B131" s="22">
        <v>129</v>
      </c>
      <c r="C131" s="38" t="s">
        <v>240</v>
      </c>
      <c r="D131" s="1" t="s">
        <v>245</v>
      </c>
      <c r="E131" s="3">
        <v>251.04</v>
      </c>
      <c r="F131" s="10">
        <f t="shared" si="11"/>
        <v>0.2</v>
      </c>
      <c r="G131" s="20" t="str">
        <f t="shared" ref="G131:G135" si="13">IF(F131=5%,"2X",IF(F131=8%,"3X",IF(F131=14%,"4X",IF(F131=18%,"5X",IF(F131=20%,"6X",IF(F131=24%,"7X",IF(F131=28%,"8X",IF(F131=30%,"9X",IF(F131=32%,"10X",IF(F131=34%,"11X",IF(F131=38%,"12X","-")))))))))))</f>
        <v>6X</v>
      </c>
      <c r="H131" s="30" t="s">
        <v>246</v>
      </c>
      <c r="I131" s="28" t="s">
        <v>16</v>
      </c>
    </row>
    <row r="132" spans="1:9">
      <c r="A132" s="37" t="str">
        <f>COUNTIF(C$3:C132,C132)&amp;C132</f>
        <v>4Webcam</v>
      </c>
      <c r="B132" s="22">
        <v>130</v>
      </c>
      <c r="C132" s="38" t="s">
        <v>240</v>
      </c>
      <c r="D132" s="1" t="s">
        <v>247</v>
      </c>
      <c r="E132" s="3">
        <v>175.99</v>
      </c>
      <c r="F132" s="10">
        <f t="shared" ref="F132:F134" si="14">IF(AND(E132&gt;=20,E132&lt;=90),5%,IF(AND(E132&gt;90,E132&lt;=130),8%,IF(AND(E132&gt;130,E132&lt;=170),14%,IF(AND(E132&gt;170,E132&lt;=230),18%,IF(AND(E132&gt;230,E132&lt;=360),20%,IF(AND(E132&gt;360,E132&lt;=460),24%,IF(AND(E132&gt;460,E132&lt;=520),28%,IF(AND(E132&gt;520,E132&lt;=600),30%,IF(AND(E132&gt;600,E132&lt;=710),32%,IF(AND(E132&gt;710,E132&lt;=900),38%,IF(AND(E132&gt;900),"40%","-")))))))))))</f>
        <v>0.18</v>
      </c>
      <c r="G132" s="20" t="str">
        <f t="shared" si="13"/>
        <v>5X</v>
      </c>
      <c r="H132" s="30" t="s">
        <v>248</v>
      </c>
      <c r="I132" s="28" t="s">
        <v>16</v>
      </c>
    </row>
    <row r="133" spans="1:9">
      <c r="A133" s="37" t="str">
        <f>COUNTIF(C$3:C133,C133)&amp;C133</f>
        <v>5Webcam</v>
      </c>
      <c r="B133" s="22">
        <v>131</v>
      </c>
      <c r="C133" s="38" t="s">
        <v>240</v>
      </c>
      <c r="D133" s="1" t="s">
        <v>249</v>
      </c>
      <c r="E133" s="3">
        <v>349.99</v>
      </c>
      <c r="F133" s="10">
        <f t="shared" si="14"/>
        <v>0.2</v>
      </c>
      <c r="G133" s="20" t="str">
        <f t="shared" si="13"/>
        <v>6X</v>
      </c>
      <c r="H133" s="30" t="s">
        <v>248</v>
      </c>
      <c r="I133" s="28" t="s">
        <v>16</v>
      </c>
    </row>
    <row r="134" spans="1:9">
      <c r="A134" s="37" t="str">
        <f>COUNTIF(C$3:C134,C134)&amp;C134</f>
        <v>6Webcam</v>
      </c>
      <c r="B134" s="22">
        <v>132</v>
      </c>
      <c r="C134" s="38" t="s">
        <v>240</v>
      </c>
      <c r="D134" s="1" t="s">
        <v>250</v>
      </c>
      <c r="E134" s="3">
        <v>89.99</v>
      </c>
      <c r="F134" s="10">
        <f t="shared" si="14"/>
        <v>0.05</v>
      </c>
      <c r="G134" s="20" t="str">
        <f t="shared" si="13"/>
        <v>2X</v>
      </c>
      <c r="H134" s="30" t="s">
        <v>251</v>
      </c>
      <c r="I134" s="28" t="s">
        <v>16</v>
      </c>
    </row>
    <row r="135" spans="1:9">
      <c r="A135" s="37" t="str">
        <f>COUNTIF(C$3:C135,C135)&amp;C135</f>
        <v>7Webcam</v>
      </c>
      <c r="B135" s="23">
        <v>133</v>
      </c>
      <c r="C135" s="39" t="s">
        <v>240</v>
      </c>
      <c r="D135" s="2" t="s">
        <v>252</v>
      </c>
      <c r="E135" s="4">
        <v>179.99</v>
      </c>
      <c r="F135" s="10">
        <f>IF(AND(E135&gt;=20,E135&lt;=90),5%,IF(AND(E135&gt;90,E135&lt;=130),8%,IF(AND(E135&gt;130,E135&lt;=170),14%,IF(AND(E135&gt;170,E135&lt;=230),18%,IF(AND(E135&gt;230,E135&lt;=360),20%,IF(AND(E135&gt;360,E135&lt;=460),24%,IF(AND(E135&gt;460,E135&lt;=520),28%,IF(AND(E135&gt;520,E135&lt;=600),30%,IF(AND(E135&gt;600,E135&lt;=710),32%,IF(AND(E135&gt;710,E135&lt;=900),38%,IF(AND(E135&gt;900),"40%","-")))))))))))</f>
        <v>0.18</v>
      </c>
      <c r="G135" s="20" t="str">
        <f t="shared" si="13"/>
        <v>5X</v>
      </c>
      <c r="H135" s="31" t="s">
        <v>253</v>
      </c>
      <c r="I135" s="28" t="s">
        <v>16</v>
      </c>
    </row>
  </sheetData>
  <sortState xmlns:xlrd2="http://schemas.microsoft.com/office/spreadsheetml/2017/richdata2" ref="C3:C1048576">
    <sortCondition ref="C3:C1048576"/>
  </sortState>
  <mergeCells count="6">
    <mergeCell ref="L15:L29"/>
    <mergeCell ref="L3:M3"/>
    <mergeCell ref="N2:P2"/>
    <mergeCell ref="N3:P3"/>
    <mergeCell ref="A1:P1"/>
    <mergeCell ref="K2:M2"/>
  </mergeCells>
  <hyperlinks>
    <hyperlink ref="I3" r:id="rId1" xr:uid="{E042C4E0-91AB-418F-A852-F404F5D61CB1}"/>
    <hyperlink ref="I4" r:id="rId2" xr:uid="{1D19E96B-9DF6-407F-9C42-D40A1B166291}"/>
    <hyperlink ref="I5" r:id="rId3" xr:uid="{4E23E49E-17CB-48BF-933C-2EB33FEE4962}"/>
    <hyperlink ref="I6" r:id="rId4" xr:uid="{99C7564A-7D74-47D2-8A4A-1F55FEF37D4D}"/>
    <hyperlink ref="I7" r:id="rId5" xr:uid="{D0233322-FA41-418F-83A0-23A2EA487F8B}"/>
    <hyperlink ref="I8" r:id="rId6" xr:uid="{9D199081-4B14-4330-9516-DF80173AD60D}"/>
    <hyperlink ref="I9" r:id="rId7" xr:uid="{546FC6F0-3DE9-4E08-89D7-BE825A415A3E}"/>
    <hyperlink ref="I10" r:id="rId8" xr:uid="{7F58E538-562C-4438-A5F5-DD6569DEB0A4}"/>
    <hyperlink ref="I11" r:id="rId9" xr:uid="{EF7CCE07-5864-48EC-8168-50E195815503}"/>
    <hyperlink ref="I12" r:id="rId10" xr:uid="{1A3BCFB8-AC47-4B9D-B246-B608F8463E04}"/>
    <hyperlink ref="I13" r:id="rId11" xr:uid="{B5B0DC79-7959-49D6-8038-20F70F61F7DD}"/>
    <hyperlink ref="I14" r:id="rId12" xr:uid="{3B587AF9-4DFB-4D09-A921-4AC208325BD4}"/>
    <hyperlink ref="I15" r:id="rId13" xr:uid="{17D7C915-8272-47A1-A3E9-22EC915F2B6B}"/>
    <hyperlink ref="I16" r:id="rId14" xr:uid="{7B5BBEAA-BD35-4245-91BA-7CE5D60D0DC1}"/>
    <hyperlink ref="I24" r:id="rId15" xr:uid="{9A8D2E78-B045-4D8B-9E9A-915C8F522A83}"/>
    <hyperlink ref="I25" r:id="rId16" xr:uid="{61D34D14-A810-45DB-A0F2-7F4006CE7D9A}"/>
    <hyperlink ref="I26" r:id="rId17" xr:uid="{512E238A-9EED-4F72-A608-FD0DC75A215A}"/>
    <hyperlink ref="I27" r:id="rId18" xr:uid="{0EAA5D2E-AF7C-42C5-9479-65434E413818}"/>
    <hyperlink ref="I28" r:id="rId19" xr:uid="{8DA0BB55-959F-4247-B23E-7A7A3B591C7B}"/>
    <hyperlink ref="I29" r:id="rId20" xr:uid="{ED07E597-D35A-4041-B832-BD3112585E97}"/>
    <hyperlink ref="I30" r:id="rId21" xr:uid="{F4B83D15-42BE-48F7-A55F-681B06C5D195}"/>
    <hyperlink ref="I17" r:id="rId22" xr:uid="{C8C1E268-B4FD-4180-A910-2003312688FA}"/>
    <hyperlink ref="I18" r:id="rId23" xr:uid="{4278FC28-1EA2-44AB-A56A-D19C7745089C}"/>
    <hyperlink ref="I19" r:id="rId24" xr:uid="{C3DD5BF2-F1DD-4A15-BA73-38673757F706}"/>
    <hyperlink ref="I20" r:id="rId25" xr:uid="{630697C2-2BAA-4B82-9970-1D32C85477D4}"/>
    <hyperlink ref="I21" r:id="rId26" xr:uid="{56CEBD60-E5B7-4627-A741-C878057CBA0B}"/>
    <hyperlink ref="I22" r:id="rId27" xr:uid="{53432515-17D3-48B2-80A6-C4DBA217D5AF}"/>
    <hyperlink ref="I23" r:id="rId28" xr:uid="{E223C5F2-89DA-48E2-AAB2-D417A155B72D}"/>
    <hyperlink ref="I31" r:id="rId29" xr:uid="{BFE31773-30E5-4A9B-B06F-87BD32CBE6C1}"/>
    <hyperlink ref="I32" r:id="rId30" xr:uid="{7A1897CE-A3A0-4EA1-9CB4-E4E4D228FCD6}"/>
    <hyperlink ref="I33" r:id="rId31" xr:uid="{CF732426-5F58-47E7-8DE1-119A575D86E1}"/>
    <hyperlink ref="I34" r:id="rId32" xr:uid="{794A38BE-0138-4A2E-8A07-87BA32E8CBE9}"/>
    <hyperlink ref="I35" r:id="rId33" xr:uid="{E173CE0E-8E00-49A5-A233-B8279BB2BD25}"/>
    <hyperlink ref="I36" r:id="rId34" xr:uid="{A98D9912-2C36-4606-8EBC-535A1A207C99}"/>
    <hyperlink ref="I37" r:id="rId35" xr:uid="{3B801AC7-F567-4A03-BA48-464E8B0AF7A7}"/>
    <hyperlink ref="I38" r:id="rId36" xr:uid="{E3687B43-ABF0-499B-BD29-623FF45D7CC2}"/>
    <hyperlink ref="I39" r:id="rId37" xr:uid="{0AE26150-41D5-4DDF-8FDA-C7CF6E8588F2}"/>
    <hyperlink ref="I40" r:id="rId38" xr:uid="{8A63E8B1-A629-4671-9743-5F4962413AE2}"/>
    <hyperlink ref="I41" r:id="rId39" xr:uid="{668EE590-B781-46B5-A2DF-B3D59052742D}"/>
    <hyperlink ref="I42" r:id="rId40" xr:uid="{9DF646DD-A203-4510-AF41-7D3C318C8219}"/>
    <hyperlink ref="I43" r:id="rId41" xr:uid="{DD7A38A5-7134-4223-BD5D-D8E4E049C8AA}"/>
    <hyperlink ref="I44" r:id="rId42" xr:uid="{62401ABB-A3DC-4A08-BA42-E883AC290EBC}"/>
    <hyperlink ref="I45" r:id="rId43" xr:uid="{A91CD1EE-2966-4597-8EB2-0C3138DD02E8}"/>
    <hyperlink ref="I46" r:id="rId44" xr:uid="{48F759D8-5E87-429E-A9B8-AABBB5809D39}"/>
    <hyperlink ref="I47" r:id="rId45" xr:uid="{AB2397D1-6CDB-4211-9D96-5780363EC96C}"/>
    <hyperlink ref="I48" r:id="rId46" xr:uid="{C125857C-41B7-4F65-947A-3E3C795BBC3D}"/>
    <hyperlink ref="I49" r:id="rId47" xr:uid="{DA9C36E4-D301-4CAB-9A0D-33A2B9F6F7E9}"/>
    <hyperlink ref="I50" r:id="rId48" xr:uid="{441A7704-6CA9-42A4-BF89-51EC26F9568D}"/>
    <hyperlink ref="I51" r:id="rId49" xr:uid="{A041E2E9-F0DE-43EC-AC3E-818C9E38AB6D}"/>
    <hyperlink ref="I52" r:id="rId50" xr:uid="{C4828F89-2969-4EDE-98B3-89A71E566835}"/>
    <hyperlink ref="I53" r:id="rId51" xr:uid="{69ECF1A2-79A4-4AB8-A606-EDE4D168FBF7}"/>
    <hyperlink ref="I54" r:id="rId52" xr:uid="{73445CE9-89FA-4ED3-8631-16EAB97E7704}"/>
    <hyperlink ref="I55" r:id="rId53" xr:uid="{47E6CC0E-3794-406E-A12F-7F273C19631D}"/>
    <hyperlink ref="I56" r:id="rId54" xr:uid="{E130F4FC-11E3-43EF-AAC5-7064326999A2}"/>
    <hyperlink ref="I57" r:id="rId55" xr:uid="{2AD5B2B4-F5F0-49F7-A1DB-DA4B80FB6DFC}"/>
    <hyperlink ref="I58" r:id="rId56" xr:uid="{9E4314A7-C5DD-4FCA-B324-4E95259EEDF4}"/>
    <hyperlink ref="I59" r:id="rId57" xr:uid="{176BCF2B-4A88-4053-A635-C506D18ADB1B}"/>
    <hyperlink ref="I60" r:id="rId58" xr:uid="{C035409C-89DA-43F7-86B0-40C2683EA885}"/>
    <hyperlink ref="I61" r:id="rId59" xr:uid="{2576867E-E399-45AB-8E1B-292A9D5107EB}"/>
    <hyperlink ref="I62" r:id="rId60" xr:uid="{B90576D4-2B29-43F7-9F4C-C1BA0D871840}"/>
    <hyperlink ref="I63" r:id="rId61" xr:uid="{BC11F03C-4148-4F77-99F5-ACCFF551A070}"/>
    <hyperlink ref="I64" r:id="rId62" xr:uid="{341B3A76-5011-45C7-B76C-870AC3846680}"/>
    <hyperlink ref="I65" r:id="rId63" xr:uid="{AA343459-47E5-4339-9377-30BCF9609AF0}"/>
    <hyperlink ref="I66" r:id="rId64" xr:uid="{8E768F3A-3B05-4614-8E58-0E0FF226C1B9}"/>
    <hyperlink ref="I67" r:id="rId65" xr:uid="{CA66396D-5B0D-4F50-869B-72064356C0C1}"/>
    <hyperlink ref="I68" r:id="rId66" xr:uid="{149F9F97-40BC-40E6-B01D-1EB9314B2710}"/>
    <hyperlink ref="I69" r:id="rId67" xr:uid="{FCE4EAD7-10F6-412F-9A29-42AD83167B0E}"/>
    <hyperlink ref="I70" r:id="rId68" xr:uid="{7028805E-6966-459C-BAAF-0E18EAAC3E7F}"/>
    <hyperlink ref="I71" r:id="rId69" xr:uid="{1AEBB7F4-EAF9-43DD-B2E5-9B89A65D4857}"/>
    <hyperlink ref="I72" r:id="rId70" xr:uid="{C23C7988-F215-4F45-8FF5-A0FE9BF05CCC}"/>
    <hyperlink ref="I73" r:id="rId71" xr:uid="{538AFE82-1083-41E4-B0BE-9E2E5FD9AB3E}"/>
    <hyperlink ref="I74" r:id="rId72" xr:uid="{30E22F8E-D683-4E2A-B47B-C6D52BB13D7F}"/>
    <hyperlink ref="I75" r:id="rId73" xr:uid="{46A8F80D-BB3E-4596-BFC8-1E419DCB0525}"/>
    <hyperlink ref="I76" r:id="rId74" xr:uid="{6D0CE8BB-C686-4A5A-9CD1-2338D1FCCF10}"/>
    <hyperlink ref="I77" r:id="rId75" xr:uid="{292EC7A6-EA56-4DCD-BE54-CDFAB08DA80A}"/>
    <hyperlink ref="I78" r:id="rId76" xr:uid="{3F127114-C3C9-4A72-8B81-E9D4CC73E274}"/>
    <hyperlink ref="I79" r:id="rId77" xr:uid="{3FD48EC0-9E8C-4DA8-AD17-F201602B6512}"/>
    <hyperlink ref="I80" r:id="rId78" xr:uid="{8C0D328A-9004-42E2-9999-73449CFD65BB}"/>
    <hyperlink ref="I81" r:id="rId79" xr:uid="{8399CBA8-AA31-4F96-A04A-A0A1932DC41D}"/>
    <hyperlink ref="I82" r:id="rId80" xr:uid="{868B9A8D-EA36-454D-809C-D0E86A0EAA34}"/>
    <hyperlink ref="I83" r:id="rId81" xr:uid="{84D89F28-A3AA-47D7-A25D-82D995449071}"/>
    <hyperlink ref="I84" r:id="rId82" xr:uid="{EFF089AD-9624-4433-BDED-AACFCD3ACF1F}"/>
    <hyperlink ref="I85" r:id="rId83" xr:uid="{4A7E8B28-F1FE-4CE8-83F7-5D91E9313ACB}"/>
    <hyperlink ref="I86" r:id="rId84" xr:uid="{2080D110-DC8B-41EB-8351-58AB0D65AD96}"/>
    <hyperlink ref="I87" r:id="rId85" xr:uid="{0991E3D7-0066-4BB4-92D0-A3C246851F46}"/>
    <hyperlink ref="I88" r:id="rId86" xr:uid="{8482FF8A-2601-4642-B1C5-63116719C72B}"/>
    <hyperlink ref="I89" r:id="rId87" xr:uid="{2850C8E1-4F34-428D-B78D-4A81481C6B23}"/>
    <hyperlink ref="I90" r:id="rId88" xr:uid="{4F481FF6-8079-4197-9E30-F7FD4C4F3356}"/>
    <hyperlink ref="I91" r:id="rId89" xr:uid="{3862C4E6-AE93-43E4-8377-48C519C321E9}"/>
    <hyperlink ref="I92" r:id="rId90" xr:uid="{7EAFD732-BDD2-41C7-9612-BC7D7CB1B5AA}"/>
    <hyperlink ref="I93" r:id="rId91" xr:uid="{1B890B89-141B-45B7-A30C-029EC2360342}"/>
    <hyperlink ref="I94" r:id="rId92" xr:uid="{C1820030-CBEC-449A-9BB4-9A00C9A56AE0}"/>
    <hyperlink ref="I95" r:id="rId93" xr:uid="{A2A04A0E-C900-4513-860F-10D17EDBB0F8}"/>
    <hyperlink ref="I96" r:id="rId94" xr:uid="{D9733242-2C21-4B6D-987E-D74DEB78AE26}"/>
    <hyperlink ref="I97" r:id="rId95" xr:uid="{5C45F000-D89F-4966-A917-962798172732}"/>
    <hyperlink ref="I98" r:id="rId96" xr:uid="{1A420A59-3D95-4B9C-A05A-F686DE5EF7C6}"/>
    <hyperlink ref="I99" r:id="rId97" xr:uid="{C456C33B-0399-448F-B2C0-835107690AAC}"/>
    <hyperlink ref="I100" r:id="rId98" xr:uid="{140BB478-475E-48EB-B3EE-3EBCC0EAF037}"/>
    <hyperlink ref="I101" r:id="rId99" xr:uid="{3951E990-90DC-41DA-B900-1783DCEC1CA2}"/>
    <hyperlink ref="I102" r:id="rId100" xr:uid="{5B918CE8-B715-42DF-83B0-DD3B694D33A3}"/>
    <hyperlink ref="I103" r:id="rId101" xr:uid="{9036B1A5-8D6C-48C5-8D61-45F7F10C4643}"/>
    <hyperlink ref="I104" r:id="rId102" xr:uid="{B6F2EA50-8CBF-4CE5-BCB4-D2D3D03D9E34}"/>
    <hyperlink ref="I105" r:id="rId103" xr:uid="{A364EEE1-FFDF-45F0-8563-1986DBBB379B}"/>
    <hyperlink ref="I106" r:id="rId104" xr:uid="{887348CD-5236-4A68-9865-C641518CF5A5}"/>
    <hyperlink ref="I107" r:id="rId105" xr:uid="{61DD447A-951E-48F7-890A-FE709D0D8E07}"/>
    <hyperlink ref="I108" r:id="rId106" xr:uid="{4338663A-0A67-4495-8DB0-7074DA79D668}"/>
    <hyperlink ref="I109" r:id="rId107" xr:uid="{F1ACC7E8-6806-4FC5-AF70-87AE3E10E6A9}"/>
    <hyperlink ref="I110" r:id="rId108" xr:uid="{AA0D259A-0B96-4F80-9622-76A2AB0BA429}"/>
    <hyperlink ref="I111" r:id="rId109" xr:uid="{BE7D01B9-479F-4968-A392-98DC1DC95C15}"/>
    <hyperlink ref="I112" r:id="rId110" xr:uid="{28F1DCCA-E7DD-45BD-998E-BDC0AC99A783}"/>
    <hyperlink ref="I113" r:id="rId111" xr:uid="{FBB3E89B-0355-4567-947A-D2EF9CE4020C}"/>
    <hyperlink ref="I114" r:id="rId112" xr:uid="{DEB10B38-BAD8-4F2C-B804-11719F780888}"/>
    <hyperlink ref="I115" r:id="rId113" xr:uid="{FB591ADC-8D8D-4BB3-A4B3-C186A0233EDF}"/>
    <hyperlink ref="I116" r:id="rId114" xr:uid="{095B7CF6-07EA-4A57-A8C6-4A3D4869F9AB}"/>
    <hyperlink ref="I117" r:id="rId115" xr:uid="{86771B0E-C5BC-43C3-99D0-F6B1B5F17531}"/>
    <hyperlink ref="I119" r:id="rId116" xr:uid="{079210EA-0F3B-4846-AB4C-E7FE37FA5D44}"/>
    <hyperlink ref="I118" r:id="rId117" xr:uid="{86F97583-47EB-4564-9070-6B17AFC6BA9C}"/>
    <hyperlink ref="I120" r:id="rId118" xr:uid="{386D78FC-DB46-471F-A43B-48C614A89C84}"/>
    <hyperlink ref="I121" r:id="rId119" xr:uid="{0261293C-F7C6-450D-9845-EB6042CA95FD}"/>
    <hyperlink ref="I122" r:id="rId120" xr:uid="{209EF3FF-99BF-448C-8FB9-6B2A59087464}"/>
    <hyperlink ref="I123" r:id="rId121" xr:uid="{228D5678-DEF5-4D4C-BCF7-8C85265CD113}"/>
    <hyperlink ref="I124" r:id="rId122" xr:uid="{53C99671-EE17-4144-9566-EE02F3795F97}"/>
    <hyperlink ref="I125" r:id="rId123" xr:uid="{745974E7-C596-4A54-B5FC-72B309381FF7}"/>
    <hyperlink ref="I126" r:id="rId124" xr:uid="{05FA7886-578F-4E0E-AE17-49303DF6C3DB}"/>
    <hyperlink ref="I127" r:id="rId125" xr:uid="{54E7B3AA-1EB8-4373-B202-9DBED07E4FEB}"/>
    <hyperlink ref="I128" r:id="rId126" xr:uid="{0D5A607B-9FA9-4860-8CDC-F2440BDD294C}"/>
    <hyperlink ref="I129" r:id="rId127" xr:uid="{51EDAB26-308F-46F2-8FDF-302452292C3D}"/>
    <hyperlink ref="I130" r:id="rId128" xr:uid="{AF07F02F-45A6-440E-B5DF-6CB862412F7D}"/>
    <hyperlink ref="I131" r:id="rId129" xr:uid="{492C3526-8943-4F29-9E0C-5BCAB72A56B3}"/>
    <hyperlink ref="I132" r:id="rId130" xr:uid="{C5A075F1-BA81-4765-901C-CBCE91903EB5}"/>
    <hyperlink ref="I133" r:id="rId131" xr:uid="{06E57C31-A55D-4DEB-BC47-FCAB9E78B34F}"/>
    <hyperlink ref="I134" r:id="rId132" xr:uid="{BAD35795-D39C-4D7F-A357-19B55C9DD33E}"/>
    <hyperlink ref="I135" r:id="rId133" xr:uid="{DCD83BF3-8D1D-49B0-A845-E243A4C86EA4}"/>
  </hyperlinks>
  <pageMargins left="0.7" right="0.7" top="0.75" bottom="0.75" header="0.3" footer="0.3"/>
  <pageSetup paperSize="9" orientation="portrait" r:id="rId134"/>
  <drawing r:id="rId135"/>
  <tableParts count="1">
    <tablePart r:id="rId13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A064A-5841-48BF-99C9-70B09A68E5D2}">
  <sheetPr codeName="Planilha2"/>
  <dimension ref="A1:G16"/>
  <sheetViews>
    <sheetView zoomScaleNormal="100" workbookViewId="0">
      <selection activeCell="G6" sqref="G6"/>
    </sheetView>
  </sheetViews>
  <sheetFormatPr defaultRowHeight="15"/>
  <cols>
    <col min="1" max="1" width="18.28515625" customWidth="1"/>
    <col min="2" max="2" width="18" bestFit="1" customWidth="1"/>
    <col min="3" max="3" width="12.7109375" bestFit="1" customWidth="1"/>
    <col min="4" max="4" width="13.7109375" style="47" bestFit="1" customWidth="1"/>
    <col min="6" max="6" width="13" customWidth="1"/>
    <col min="7" max="7" width="15.85546875" style="47" customWidth="1"/>
  </cols>
  <sheetData>
    <row r="1" spans="1:7" ht="31.5" customHeight="1">
      <c r="A1" s="72" t="s">
        <v>254</v>
      </c>
      <c r="B1" s="72"/>
      <c r="C1" s="72"/>
      <c r="D1" s="72"/>
      <c r="E1" s="72"/>
      <c r="F1" s="72"/>
      <c r="G1" s="72"/>
    </row>
    <row r="2" spans="1:7" ht="34.5" customHeight="1">
      <c r="A2" s="54" t="s">
        <v>255</v>
      </c>
      <c r="B2" s="54" t="s">
        <v>256</v>
      </c>
      <c r="C2" s="54" t="s">
        <v>257</v>
      </c>
      <c r="D2" s="55" t="s">
        <v>258</v>
      </c>
      <c r="E2" s="73"/>
      <c r="F2" s="71" t="s">
        <v>259</v>
      </c>
      <c r="G2" s="71"/>
    </row>
    <row r="3" spans="1:7">
      <c r="A3" s="38" t="s">
        <v>260</v>
      </c>
      <c r="B3" s="38" t="s">
        <v>261</v>
      </c>
      <c r="C3" s="38" t="s">
        <v>262</v>
      </c>
      <c r="D3" s="52" t="str">
        <f>IF(C3=$C$3,"R$ 60,00",IF(C3=$F$4,"R$ 40,00",IF(C3=$F$5,"R$ 40,00",IF(C3=$F$6,"R$ 40,00",IF(C3=$F$7,"R$ 50,00","-")))))</f>
        <v>R$ 60,00</v>
      </c>
      <c r="E3" s="73"/>
      <c r="F3" s="38" t="s">
        <v>262</v>
      </c>
      <c r="G3" s="52">
        <v>60</v>
      </c>
    </row>
    <row r="4" spans="1:7" ht="18.75">
      <c r="A4" s="38" t="s">
        <v>263</v>
      </c>
      <c r="B4" s="38" t="s">
        <v>264</v>
      </c>
      <c r="C4" s="38" t="s">
        <v>262</v>
      </c>
      <c r="D4" s="52" t="str">
        <f t="shared" ref="D4:D16" si="0">IF(C4=$C$3,"R$ 60,00",IF(C4=$F$4,"R$ 40,00",IF(C4=$F$5,"R$ 40,00",IF(C4=$F$6,"R$ 40,00",IF(C4=$F$7,"R$ 50,00","-")))))</f>
        <v>R$ 60,00</v>
      </c>
      <c r="E4" s="73"/>
      <c r="F4" s="38" t="s">
        <v>265</v>
      </c>
      <c r="G4" s="52">
        <v>50</v>
      </c>
    </row>
    <row r="5" spans="1:7">
      <c r="A5" s="38" t="s">
        <v>266</v>
      </c>
      <c r="B5" s="38" t="s">
        <v>267</v>
      </c>
      <c r="C5" s="38" t="s">
        <v>262</v>
      </c>
      <c r="D5" s="52" t="str">
        <f t="shared" si="0"/>
        <v>R$ 60,00</v>
      </c>
      <c r="E5" s="73"/>
      <c r="F5" s="38" t="s">
        <v>268</v>
      </c>
      <c r="G5" s="53">
        <v>30</v>
      </c>
    </row>
    <row r="6" spans="1:7">
      <c r="A6" s="38" t="s">
        <v>269</v>
      </c>
      <c r="B6" s="38" t="s">
        <v>270</v>
      </c>
      <c r="C6" s="38" t="s">
        <v>262</v>
      </c>
      <c r="D6" s="52" t="str">
        <f t="shared" si="0"/>
        <v>R$ 60,00</v>
      </c>
      <c r="E6" s="73"/>
      <c r="F6" s="38" t="s">
        <v>271</v>
      </c>
      <c r="G6" s="52">
        <v>40</v>
      </c>
    </row>
    <row r="7" spans="1:7">
      <c r="A7" s="38" t="s">
        <v>272</v>
      </c>
      <c r="B7" s="38" t="s">
        <v>273</v>
      </c>
      <c r="C7" s="38" t="s">
        <v>265</v>
      </c>
      <c r="D7" s="52" t="str">
        <f t="shared" si="0"/>
        <v>R$ 40,00</v>
      </c>
      <c r="E7" s="73"/>
      <c r="F7" s="38" t="s">
        <v>274</v>
      </c>
      <c r="G7" s="52">
        <v>70</v>
      </c>
    </row>
    <row r="8" spans="1:7">
      <c r="A8" s="38" t="s">
        <v>275</v>
      </c>
      <c r="B8" s="38" t="s">
        <v>276</v>
      </c>
      <c r="C8" s="38" t="s">
        <v>265</v>
      </c>
      <c r="D8" s="52" t="str">
        <f t="shared" si="0"/>
        <v>R$ 40,00</v>
      </c>
      <c r="E8" s="73"/>
      <c r="F8" s="74"/>
      <c r="G8" s="74"/>
    </row>
    <row r="9" spans="1:7">
      <c r="A9" s="38" t="s">
        <v>277</v>
      </c>
      <c r="B9" s="38" t="s">
        <v>278</v>
      </c>
      <c r="C9" s="38" t="s">
        <v>265</v>
      </c>
      <c r="D9" s="52" t="str">
        <f t="shared" si="0"/>
        <v>R$ 40,00</v>
      </c>
      <c r="E9" s="73"/>
      <c r="F9" s="69"/>
      <c r="G9" s="69"/>
    </row>
    <row r="10" spans="1:7">
      <c r="A10" s="38" t="s">
        <v>279</v>
      </c>
      <c r="B10" s="38" t="s">
        <v>280</v>
      </c>
      <c r="C10" s="38" t="s">
        <v>268</v>
      </c>
      <c r="D10" s="52" t="str">
        <f t="shared" si="0"/>
        <v>R$ 40,00</v>
      </c>
      <c r="E10" s="73"/>
      <c r="F10" s="69"/>
      <c r="G10" s="69"/>
    </row>
    <row r="11" spans="1:7">
      <c r="A11" s="38" t="s">
        <v>281</v>
      </c>
      <c r="B11" s="38" t="s">
        <v>282</v>
      </c>
      <c r="C11" s="38" t="s">
        <v>268</v>
      </c>
      <c r="D11" s="52" t="str">
        <f t="shared" si="0"/>
        <v>R$ 40,00</v>
      </c>
      <c r="E11" s="73"/>
      <c r="F11" s="69"/>
      <c r="G11" s="69"/>
    </row>
    <row r="12" spans="1:7">
      <c r="A12" s="38" t="s">
        <v>283</v>
      </c>
      <c r="B12" s="38" t="s">
        <v>284</v>
      </c>
      <c r="C12" s="38" t="s">
        <v>268</v>
      </c>
      <c r="D12" s="52" t="str">
        <f t="shared" si="0"/>
        <v>R$ 40,00</v>
      </c>
      <c r="E12" s="73"/>
      <c r="F12" s="69"/>
      <c r="G12" s="69"/>
    </row>
    <row r="13" spans="1:7" ht="14.25" customHeight="1">
      <c r="A13" s="38" t="s">
        <v>285</v>
      </c>
      <c r="B13" s="38" t="s">
        <v>285</v>
      </c>
      <c r="C13" s="38" t="s">
        <v>271</v>
      </c>
      <c r="D13" s="52" t="str">
        <f t="shared" si="0"/>
        <v>R$ 40,00</v>
      </c>
      <c r="E13" s="73"/>
      <c r="F13" s="69"/>
      <c r="G13" s="69"/>
    </row>
    <row r="14" spans="1:7" ht="14.25" customHeight="1">
      <c r="A14" s="38" t="s">
        <v>286</v>
      </c>
      <c r="B14" s="38" t="s">
        <v>286</v>
      </c>
      <c r="C14" s="38" t="s">
        <v>271</v>
      </c>
      <c r="D14" s="52" t="str">
        <f t="shared" si="0"/>
        <v>R$ 40,00</v>
      </c>
      <c r="E14" s="73"/>
      <c r="F14" s="69"/>
      <c r="G14" s="69"/>
    </row>
    <row r="15" spans="1:7" ht="14.25" customHeight="1">
      <c r="A15" s="38" t="s">
        <v>287</v>
      </c>
      <c r="B15" s="38" t="s">
        <v>288</v>
      </c>
      <c r="C15" s="38" t="s">
        <v>274</v>
      </c>
      <c r="D15" s="52" t="str">
        <f t="shared" si="0"/>
        <v>R$ 50,00</v>
      </c>
      <c r="E15" s="73"/>
      <c r="F15" s="69"/>
      <c r="G15" s="69"/>
    </row>
    <row r="16" spans="1:7">
      <c r="A16" s="38" t="s">
        <v>289</v>
      </c>
      <c r="B16" s="38" t="s">
        <v>290</v>
      </c>
      <c r="C16" s="38" t="s">
        <v>274</v>
      </c>
      <c r="D16" s="52" t="str">
        <f t="shared" si="0"/>
        <v>R$ 50,00</v>
      </c>
      <c r="E16" s="73"/>
      <c r="F16" s="69"/>
      <c r="G16" s="69"/>
    </row>
  </sheetData>
  <autoFilter ref="C3:C16" xr:uid="{F96A064A-5841-48BF-99C9-70B09A68E5D2}"/>
  <mergeCells count="4">
    <mergeCell ref="F2:G2"/>
    <mergeCell ref="A1:G1"/>
    <mergeCell ref="E2:E16"/>
    <mergeCell ref="F8:G16"/>
  </mergeCells>
  <hyperlinks>
    <hyperlink ref="B16" r:id="rId1" xr:uid="{FFC9E8FA-E635-453D-A1DB-D548CAA2A162}"/>
    <hyperlink ref="B8" r:id="rId2" xr:uid="{BEADB1F7-FD17-41D9-8551-E6B8508CEE14}"/>
    <hyperlink ref="B6" r:id="rId3" xr:uid="{81F4B68D-9E41-42BC-A03B-79C43A2A82AD}"/>
    <hyperlink ref="B9" r:id="rId4" xr:uid="{0BBF4592-2A68-45A3-ABBB-43B3574CAC9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Peças</vt:lpstr>
      <vt:lpstr>Localidades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Nathan Mendonça</cp:lastModifiedBy>
  <cp:revision/>
  <dcterms:created xsi:type="dcterms:W3CDTF">2024-06-06T16:12:10Z</dcterms:created>
  <dcterms:modified xsi:type="dcterms:W3CDTF">2024-06-26T01:22:14Z</dcterms:modified>
  <cp:category/>
  <cp:contentStatus/>
</cp:coreProperties>
</file>